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nalysis" sheetId="2" state="visible" r:id="rId2"/>
    <sheet xmlns:r="http://schemas.openxmlformats.org/officeDocument/2006/relationships" name="RawData"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Malgun Gothic"/>
      <b val="1"/>
      <color rgb="00FFFFFF"/>
      <sz val="10"/>
    </font>
    <font>
      <name val="Malgun Gothic"/>
      <b val="1"/>
      <color rgb="00004F2F"/>
      <sz val="18"/>
    </font>
    <font>
      <name val="Malgun Gothic"/>
      <color rgb="00666666"/>
      <sz val="9"/>
    </font>
    <font>
      <name val="Malgun Gothic"/>
      <b val="1"/>
      <color rgb="00004F2F"/>
      <sz val="16"/>
    </font>
    <font>
      <name val="Malgun Gothic"/>
      <b val="1"/>
      <color rgb="00333333"/>
      <sz val="12"/>
    </font>
    <font>
      <name val="Malgun Gothic"/>
      <sz val="9"/>
    </font>
  </fonts>
  <fills count="5">
    <fill>
      <patternFill/>
    </fill>
    <fill>
      <patternFill patternType="gray125"/>
    </fill>
    <fill>
      <patternFill patternType="solid">
        <fgColor rgb="00004F2F"/>
        <bgColor rgb="00004F2F"/>
      </patternFill>
    </fill>
    <fill>
      <patternFill patternType="solid">
        <fgColor rgb="00336633"/>
        <bgColor rgb="00336633"/>
      </patternFill>
    </fill>
    <fill>
      <patternFill patternType="solid">
        <fgColor rgb="00F2F7F4"/>
        <bgColor rgb="00F2F7F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2" fillId="0" borderId="0" applyAlignment="1" pivotButton="0" quotePrefix="0" xfId="0">
      <alignment horizontal="center" vertical="center"/>
    </xf>
    <xf numFmtId="0" fontId="3" fillId="4" borderId="1" applyAlignment="1" pivotButton="0" quotePrefix="0" xfId="0">
      <alignment horizontal="center" vertical="center"/>
    </xf>
    <xf numFmtId="0" fontId="0" fillId="4" borderId="1" pivotButton="0" quotePrefix="0" xfId="0"/>
    <xf numFmtId="0" fontId="4" fillId="4" borderId="1" applyAlignment="1" pivotButton="0" quotePrefix="0" xfId="0">
      <alignment horizontal="center" vertical="center"/>
    </xf>
    <xf numFmtId="0" fontId="5" fillId="0" borderId="0" pivotButton="0" quotePrefix="0" xfId="0"/>
    <xf numFmtId="0" fontId="1" fillId="2" borderId="0" applyAlignment="1" pivotButton="0" quotePrefix="0" xfId="0">
      <alignment horizontal="center"/>
    </xf>
    <xf numFmtId="0" fontId="6" fillId="0" borderId="1" applyAlignment="1" pivotButton="0" quotePrefix="0" xfId="0">
      <alignment horizontal="left"/>
    </xf>
    <xf numFmtId="0" fontId="6" fillId="0" borderId="1" applyAlignment="1" pivotButton="0" quotePrefix="0" xfId="0">
      <alignment horizontal="center"/>
    </xf>
    <xf numFmtId="164" fontId="6" fillId="0" borderId="1" applyAlignment="1" pivotButton="0" quotePrefix="0" xfId="0">
      <alignment horizontal="center"/>
    </xf>
    <xf numFmtId="3" fontId="6" fillId="0" borderId="1" applyAlignment="1" pivotButton="0" quotePrefix="0" xfId="0">
      <alignment horizontal="center"/>
    </xf>
    <xf numFmtId="0" fontId="1" fillId="3" borderId="0" applyAlignment="1" pivotButton="0" quotePrefix="0" xfId="0">
      <alignment horizont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출판사 TOP 10 베스트셀러 수</a:t>
            </a:r>
          </a:p>
        </rich>
      </tx>
    </title>
    <plotArea>
      <barChart>
        <barDir val="col"/>
        <grouping val="clustered"/>
        <ser>
          <idx val="0"/>
          <order val="0"/>
          <tx>
            <strRef>
              <f>'Dashboard'!B7</f>
            </strRef>
          </tx>
          <spPr>
            <a:ln xmlns:a="http://schemas.openxmlformats.org/drawingml/2006/main">
              <a:prstDash val="solid"/>
            </a:ln>
          </spPr>
          <cat>
            <numRef>
              <f>'Dashboard'!$A$8:$A$17</f>
            </numRef>
          </cat>
          <val>
            <numRef>
              <f>'Dashboard'!$B$8:$B$17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출판사</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 (권)</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가격구간별 도서 수 분포</a:t>
            </a:r>
          </a:p>
        </rich>
      </tx>
    </title>
    <plotArea>
      <barChart>
        <barDir val="col"/>
        <grouping val="clustered"/>
        <ser>
          <idx val="0"/>
          <order val="0"/>
          <tx>
            <strRef>
              <f>'Dashboard'!G7</f>
            </strRef>
          </tx>
          <spPr>
            <a:ln xmlns:a="http://schemas.openxmlformats.org/drawingml/2006/main">
              <a:prstDash val="solid"/>
            </a:ln>
          </spPr>
          <cat>
            <numRef>
              <f>'Dashboard'!$F$8:$F$13</f>
            </numRef>
          </cat>
          <val>
            <numRef>
              <f>'Dashboard'!$G$8:$G$13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가격대</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 (권)</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18</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18</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7"/>
  <sheetViews>
    <sheetView showGridLines="1" workbookViewId="0">
      <selection activeCell="A1" sqref="A1"/>
    </sheetView>
  </sheetViews>
  <sheetFormatPr baseColWidth="8" defaultRowHeight="15"/>
  <cols>
    <col width="20" customWidth="1" min="1" max="1"/>
    <col width="15" customWidth="1" min="2" max="2"/>
    <col width="15" customWidth="1" min="3" max="3"/>
    <col width="15" customWidth="1" min="4" max="4"/>
    <col width="10" customWidth="1" min="5" max="5"/>
    <col width="16" customWidth="1" min="6" max="6"/>
    <col width="15" customWidth="1" min="7" max="7"/>
    <col width="15" customWidth="1" min="8" max="8"/>
    <col width="10" customWidth="1" min="9" max="9"/>
    <col width="15" customWidth="1" min="10" max="10"/>
    <col width="10" customWidth="1" min="11" max="11"/>
    <col width="10" customWidth="1" min="12" max="12"/>
    <col width="10" customWidth="1" min="13" max="13"/>
    <col width="10" customWidth="1" min="14" max="14"/>
  </cols>
  <sheetData>
    <row r="1">
      <c r="A1" s="1" t="inlineStr">
        <is>
          <t>교보문고 실시간 베스트셀러 분석 대시보드</t>
        </is>
      </c>
    </row>
    <row r="2"/>
    <row r="3">
      <c r="A3" s="2" t="inlineStr">
        <is>
          <t>총 도서 수</t>
        </is>
      </c>
      <c r="B3" s="3" t="n"/>
      <c r="D3" s="2" t="inlineStr">
        <is>
          <t>평균 정가</t>
        </is>
      </c>
      <c r="E3" s="3" t="n"/>
      <c r="G3" s="2" t="inlineStr">
        <is>
          <t>평균 평점</t>
        </is>
      </c>
      <c r="H3" s="3" t="n"/>
      <c r="J3" s="2" t="inlineStr">
        <is>
          <t>총 리뷰 수</t>
        </is>
      </c>
      <c r="K3" s="3" t="n"/>
    </row>
    <row r="4">
      <c r="A4" s="4">
        <f>COUNTA(RawData!C2:C100)</f>
        <v/>
      </c>
      <c r="B4" s="3" t="n"/>
      <c r="D4" s="4">
        <f>AVERAGE(RawData!H2:H100)</f>
        <v/>
      </c>
      <c r="E4" s="3" t="n"/>
      <c r="G4" s="4">
        <f>AVERAGE(RawData!M2:M100)</f>
        <v/>
      </c>
      <c r="H4" s="3" t="n"/>
      <c r="J4" s="4">
        <f>SUM(RawData!L2:L100)</f>
        <v/>
      </c>
      <c r="K4" s="3" t="n"/>
    </row>
    <row r="5"/>
    <row r="6">
      <c r="A6" s="5" t="inlineStr">
        <is>
          <t>점유율 상위 출판사 TOP 10</t>
        </is>
      </c>
      <c r="F6" s="5" t="inlineStr">
        <is>
          <t>가격대별 분포 현황</t>
        </is>
      </c>
    </row>
    <row r="7">
      <c r="A7" s="6" t="inlineStr">
        <is>
          <t>출판사</t>
        </is>
      </c>
      <c r="B7" s="6" t="inlineStr">
        <is>
          <t>도서건수</t>
        </is>
      </c>
      <c r="C7" s="6" t="inlineStr">
        <is>
          <t>평균평점</t>
        </is>
      </c>
      <c r="D7" s="6" t="inlineStr">
        <is>
          <t>총리뷰건수</t>
        </is>
      </c>
      <c r="F7" s="6" t="inlineStr">
        <is>
          <t>가격구간</t>
        </is>
      </c>
      <c r="G7" s="6" t="inlineStr">
        <is>
          <t>도서건수</t>
        </is>
      </c>
      <c r="H7" s="6" t="inlineStr">
        <is>
          <t>평균평점</t>
        </is>
      </c>
    </row>
    <row r="8">
      <c r="A8" s="7">
        <f>Analysis!A2</f>
        <v/>
      </c>
      <c r="B8" s="8">
        <f>Analysis!B2</f>
        <v/>
      </c>
      <c r="C8" s="9">
        <f>Analysis!C2</f>
        <v/>
      </c>
      <c r="D8" s="10">
        <f>Analysis!D2</f>
        <v/>
      </c>
      <c r="F8" s="8">
        <f>Analysis!H2</f>
        <v/>
      </c>
      <c r="G8" s="8">
        <f>Analysis!I2</f>
        <v/>
      </c>
      <c r="H8" s="9">
        <f>Analysis!J2</f>
        <v/>
      </c>
    </row>
    <row r="9">
      <c r="A9" s="7">
        <f>Analysis!A3</f>
        <v/>
      </c>
      <c r="B9" s="8">
        <f>Analysis!B3</f>
        <v/>
      </c>
      <c r="C9" s="9">
        <f>Analysis!C3</f>
        <v/>
      </c>
      <c r="D9" s="10">
        <f>Analysis!D3</f>
        <v/>
      </c>
      <c r="F9" s="8">
        <f>Analysis!H3</f>
        <v/>
      </c>
      <c r="G9" s="8">
        <f>Analysis!I3</f>
        <v/>
      </c>
      <c r="H9" s="9">
        <f>Analysis!J3</f>
        <v/>
      </c>
    </row>
    <row r="10">
      <c r="A10" s="7">
        <f>Analysis!A4</f>
        <v/>
      </c>
      <c r="B10" s="8">
        <f>Analysis!B4</f>
        <v/>
      </c>
      <c r="C10" s="9">
        <f>Analysis!C4</f>
        <v/>
      </c>
      <c r="D10" s="10">
        <f>Analysis!D4</f>
        <v/>
      </c>
      <c r="F10" s="8">
        <f>Analysis!H4</f>
        <v/>
      </c>
      <c r="G10" s="8">
        <f>Analysis!I4</f>
        <v/>
      </c>
      <c r="H10" s="9">
        <f>Analysis!J4</f>
        <v/>
      </c>
    </row>
    <row r="11">
      <c r="A11" s="7">
        <f>Analysis!A5</f>
        <v/>
      </c>
      <c r="B11" s="8">
        <f>Analysis!B5</f>
        <v/>
      </c>
      <c r="C11" s="9">
        <f>Analysis!C5</f>
        <v/>
      </c>
      <c r="D11" s="10">
        <f>Analysis!D5</f>
        <v/>
      </c>
      <c r="F11" s="8">
        <f>Analysis!H5</f>
        <v/>
      </c>
      <c r="G11" s="8">
        <f>Analysis!I5</f>
        <v/>
      </c>
      <c r="H11" s="9">
        <f>Analysis!J5</f>
        <v/>
      </c>
    </row>
    <row r="12">
      <c r="A12" s="7">
        <f>Analysis!A6</f>
        <v/>
      </c>
      <c r="B12" s="8">
        <f>Analysis!B6</f>
        <v/>
      </c>
      <c r="C12" s="9">
        <f>Analysis!C6</f>
        <v/>
      </c>
      <c r="D12" s="10">
        <f>Analysis!D6</f>
        <v/>
      </c>
      <c r="F12" s="8">
        <f>Analysis!H6</f>
        <v/>
      </c>
      <c r="G12" s="8">
        <f>Analysis!I6</f>
        <v/>
      </c>
      <c r="H12" s="9">
        <f>Analysis!J6</f>
        <v/>
      </c>
    </row>
    <row r="13">
      <c r="A13" s="7">
        <f>Analysis!A7</f>
        <v/>
      </c>
      <c r="B13" s="8">
        <f>Analysis!B7</f>
        <v/>
      </c>
      <c r="C13" s="9">
        <f>Analysis!C7</f>
        <v/>
      </c>
      <c r="D13" s="10">
        <f>Analysis!D7</f>
        <v/>
      </c>
      <c r="F13" s="8">
        <f>Analysis!H7</f>
        <v/>
      </c>
      <c r="G13" s="8">
        <f>Analysis!I7</f>
        <v/>
      </c>
      <c r="H13" s="9">
        <f>Analysis!J7</f>
        <v/>
      </c>
    </row>
    <row r="14">
      <c r="A14" s="7">
        <f>Analysis!A8</f>
        <v/>
      </c>
      <c r="B14" s="8">
        <f>Analysis!B8</f>
        <v/>
      </c>
      <c r="C14" s="9">
        <f>Analysis!C8</f>
        <v/>
      </c>
      <c r="D14" s="10">
        <f>Analysis!D8</f>
        <v/>
      </c>
    </row>
    <row r="15">
      <c r="A15" s="7">
        <f>Analysis!A9</f>
        <v/>
      </c>
      <c r="B15" s="8">
        <f>Analysis!B9</f>
        <v/>
      </c>
      <c r="C15" s="9">
        <f>Analysis!C9</f>
        <v/>
      </c>
      <c r="D15" s="10">
        <f>Analysis!D9</f>
        <v/>
      </c>
    </row>
    <row r="16">
      <c r="A16" s="7">
        <f>Analysis!A10</f>
        <v/>
      </c>
      <c r="B16" s="8">
        <f>Analysis!B10</f>
        <v/>
      </c>
      <c r="C16" s="9">
        <f>Analysis!C10</f>
        <v/>
      </c>
      <c r="D16" s="10">
        <f>Analysis!D10</f>
        <v/>
      </c>
    </row>
    <row r="17">
      <c r="A17" s="7">
        <f>Analysis!A11</f>
        <v/>
      </c>
      <c r="B17" s="8">
        <f>Analysis!B11</f>
        <v/>
      </c>
      <c r="C17" s="9">
        <f>Analysis!C11</f>
        <v/>
      </c>
      <c r="D17" s="10">
        <f>Analysis!D11</f>
        <v/>
      </c>
    </row>
  </sheetData>
  <mergeCells count="9">
    <mergeCell ref="A4:B4"/>
    <mergeCell ref="A1:N2"/>
    <mergeCell ref="G4:H4"/>
    <mergeCell ref="J3:K3"/>
    <mergeCell ref="J4:K4"/>
    <mergeCell ref="D4:E4"/>
    <mergeCell ref="D3:E3"/>
    <mergeCell ref="A3:B3"/>
    <mergeCell ref="G3:H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6"/>
  <sheetViews>
    <sheetView showGridLines="1" workbookViewId="0">
      <selection activeCell="A1" sqref="A1"/>
    </sheetView>
  </sheetViews>
  <sheetFormatPr baseColWidth="8" defaultRowHeight="15"/>
  <cols>
    <col width="25" customWidth="1" min="1" max="1"/>
    <col width="15" customWidth="1" min="2" max="2"/>
    <col width="15" customWidth="1" min="3" max="3"/>
    <col width="15" customWidth="1" min="4" max="4"/>
    <col width="10" customWidth="1" min="5" max="5"/>
    <col width="11" customWidth="1" min="6" max="6"/>
    <col width="11" customWidth="1" min="7" max="7"/>
    <col width="14" customWidth="1" min="8" max="8"/>
    <col width="15" customWidth="1" min="9" max="9"/>
    <col width="15" customWidth="1" min="10" max="10"/>
    <col width="10" customWidth="1" min="11" max="11"/>
    <col width="11" customWidth="1" min="12" max="12"/>
    <col width="11" customWidth="1" min="13" max="13"/>
    <col width="15" customWidth="1" min="14" max="14"/>
    <col width="15" customWidth="1" min="15" max="15"/>
    <col width="15" customWidth="1" min="16" max="16"/>
  </cols>
  <sheetData>
    <row r="1">
      <c r="A1" s="11" t="inlineStr">
        <is>
          <t>출판사</t>
        </is>
      </c>
      <c r="B1" s="11" t="inlineStr">
        <is>
          <t>도서건수</t>
        </is>
      </c>
      <c r="C1" s="11" t="inlineStr">
        <is>
          <t>평균평점</t>
        </is>
      </c>
      <c r="D1" s="11" t="inlineStr">
        <is>
          <t>총리뷰건수</t>
        </is>
      </c>
      <c r="F1" s="11" t="inlineStr">
        <is>
          <t>구간하한</t>
        </is>
      </c>
      <c r="G1" s="11" t="inlineStr">
        <is>
          <t>구간상한</t>
        </is>
      </c>
      <c r="H1" s="11" t="inlineStr">
        <is>
          <t>가격구간</t>
        </is>
      </c>
      <c r="I1" s="11" t="inlineStr">
        <is>
          <t>도서건수</t>
        </is>
      </c>
      <c r="J1" s="11" t="inlineStr">
        <is>
          <t>평균평점</t>
        </is>
      </c>
      <c r="L1" s="11" t="inlineStr">
        <is>
          <t>평점하한</t>
        </is>
      </c>
      <c r="M1" s="11" t="inlineStr">
        <is>
          <t>평점상한</t>
        </is>
      </c>
      <c r="N1" s="11" t="inlineStr">
        <is>
          <t>평점구간</t>
        </is>
      </c>
      <c r="O1" s="11" t="inlineStr">
        <is>
          <t>도서건수</t>
        </is>
      </c>
      <c r="P1" s="11" t="inlineStr">
        <is>
          <t>평균리뷰수</t>
        </is>
      </c>
    </row>
    <row r="2">
      <c r="A2" t="inlineStr">
        <is>
          <t>한국교육방송공사(EBSi)</t>
        </is>
      </c>
      <c r="B2">
        <f>COUNTIF(RawData!$F$2:$F$100, A2)</f>
        <v/>
      </c>
      <c r="C2">
        <f>AVERAGEIF(RawData!$F$2:$F$100, A2, RawData!$M$2:$M$100)</f>
        <v/>
      </c>
      <c r="D2">
        <f>SUMIF(RawData!$F$2:$F$100, A2, RawData!$L$2:$L$100)</f>
        <v/>
      </c>
      <c r="F2" t="n">
        <v>0</v>
      </c>
      <c r="G2" t="n">
        <v>10000</v>
      </c>
      <c r="H2" t="inlineStr">
        <is>
          <t>1만원 이하</t>
        </is>
      </c>
      <c r="I2">
        <f>COUNTIFS(RawData!$I$2:$I$100, "&gt;="&amp;F2, RawData!$I$2:$I$100, "&lt;"&amp;G2)</f>
        <v/>
      </c>
      <c r="J2">
        <f>AVERAGEIFS(RawData!$M$2:$M$100, RawData!$I$2:$I$100, "&gt;="&amp;F2, RawData!$I$2:$I$100, "&lt;"&amp;G2)</f>
        <v/>
      </c>
      <c r="L2" t="n">
        <v>0</v>
      </c>
      <c r="M2" t="n">
        <v>8</v>
      </c>
      <c r="N2" t="inlineStr">
        <is>
          <t>8.0 이하</t>
        </is>
      </c>
      <c r="O2">
        <f>COUNTIFS(RawData!$M$2:$M$100, "&gt;="&amp;L2, RawData!$M$2:$M$100, "&lt;"&amp;M2)</f>
        <v/>
      </c>
      <c r="P2">
        <f>AVERAGEIFS(RawData!$L$2:$L$100, RawData!$M$2:$M$100, "&gt;="&amp;L2, RawData!$M$2:$M$100, "&lt;"&amp;M2)</f>
        <v/>
      </c>
    </row>
    <row r="3">
      <c r="A3" t="inlineStr">
        <is>
          <t>민음사</t>
        </is>
      </c>
      <c r="B3">
        <f>COUNTIF(RawData!$F$2:$F$100, A3)</f>
        <v/>
      </c>
      <c r="C3">
        <f>AVERAGEIF(RawData!$F$2:$F$100, A3, RawData!$M$2:$M$100)</f>
        <v/>
      </c>
      <c r="D3">
        <f>SUMIF(RawData!$F$2:$F$100, A3, RawData!$L$2:$L$100)</f>
        <v/>
      </c>
      <c r="F3" t="n">
        <v>10000</v>
      </c>
      <c r="G3" t="n">
        <v>15000</v>
      </c>
      <c r="H3" t="inlineStr">
        <is>
          <t>1만~1.5만원</t>
        </is>
      </c>
      <c r="I3">
        <f>COUNTIFS(RawData!$I$2:$I$100, "&gt;="&amp;F3, RawData!$I$2:$I$100, "&lt;"&amp;G3)</f>
        <v/>
      </c>
      <c r="J3">
        <f>AVERAGEIFS(RawData!$M$2:$M$100, RawData!$I$2:$I$100, "&gt;="&amp;F3, RawData!$I$2:$I$100, "&lt;"&amp;G3)</f>
        <v/>
      </c>
      <c r="L3" t="n">
        <v>8</v>
      </c>
      <c r="M3" t="n">
        <v>9</v>
      </c>
      <c r="N3" t="inlineStr">
        <is>
          <t>8.0 초과~9.0</t>
        </is>
      </c>
      <c r="O3">
        <f>COUNTIFS(RawData!$M$2:$M$100, "&gt;="&amp;L3, RawData!$M$2:$M$100, "&lt;"&amp;M3)</f>
        <v/>
      </c>
      <c r="P3">
        <f>AVERAGEIFS(RawData!$L$2:$L$100, RawData!$M$2:$M$100, "&gt;="&amp;L3, RawData!$M$2:$M$100, "&lt;"&amp;M3)</f>
        <v/>
      </c>
    </row>
    <row r="4">
      <c r="A4" t="inlineStr">
        <is>
          <t>이투스북</t>
        </is>
      </c>
      <c r="B4">
        <f>COUNTIF(RawData!$F$2:$F$100, A4)</f>
        <v/>
      </c>
      <c r="C4">
        <f>AVERAGEIF(RawData!$F$2:$F$100, A4, RawData!$M$2:$M$100)</f>
        <v/>
      </c>
      <c r="D4">
        <f>SUMIF(RawData!$F$2:$F$100, A4, RawData!$L$2:$L$100)</f>
        <v/>
      </c>
      <c r="F4" t="n">
        <v>15000</v>
      </c>
      <c r="G4" t="n">
        <v>20000</v>
      </c>
      <c r="H4" t="inlineStr">
        <is>
          <t>1.5만~2만원</t>
        </is>
      </c>
      <c r="I4">
        <f>COUNTIFS(RawData!$I$2:$I$100, "&gt;="&amp;F4, RawData!$I$2:$I$100, "&lt;"&amp;G4)</f>
        <v/>
      </c>
      <c r="J4">
        <f>AVERAGEIFS(RawData!$M$2:$M$100, RawData!$I$2:$I$100, "&gt;="&amp;F4, RawData!$I$2:$I$100, "&lt;"&amp;G4)</f>
        <v/>
      </c>
      <c r="L4" t="n">
        <v>9</v>
      </c>
      <c r="M4" t="n">
        <v>9.5</v>
      </c>
      <c r="N4" t="inlineStr">
        <is>
          <t>9.0 초과~9.5</t>
        </is>
      </c>
      <c r="O4">
        <f>COUNTIFS(RawData!$M$2:$M$100, "&gt;="&amp;L4, RawData!$M$2:$M$100, "&lt;"&amp;M4)</f>
        <v/>
      </c>
      <c r="P4">
        <f>AVERAGEIFS(RawData!$L$2:$L$100, RawData!$M$2:$M$100, "&gt;="&amp;L4, RawData!$M$2:$M$100, "&lt;"&amp;M4)</f>
        <v/>
      </c>
    </row>
    <row r="5">
      <c r="A5" t="inlineStr">
        <is>
          <t>두산매거진</t>
        </is>
      </c>
      <c r="B5">
        <f>COUNTIF(RawData!$F$2:$F$100, A5)</f>
        <v/>
      </c>
      <c r="C5">
        <f>AVERAGEIF(RawData!$F$2:$F$100, A5, RawData!$M$2:$M$100)</f>
        <v/>
      </c>
      <c r="D5">
        <f>SUMIF(RawData!$F$2:$F$100, A5, RawData!$L$2:$L$100)</f>
        <v/>
      </c>
      <c r="F5" t="n">
        <v>20000</v>
      </c>
      <c r="G5" t="n">
        <v>25000</v>
      </c>
      <c r="H5" t="inlineStr">
        <is>
          <t>2만~2.5만원</t>
        </is>
      </c>
      <c r="I5">
        <f>COUNTIFS(RawData!$I$2:$I$100, "&gt;="&amp;F5, RawData!$I$2:$I$100, "&lt;"&amp;G5)</f>
        <v/>
      </c>
      <c r="J5">
        <f>AVERAGEIFS(RawData!$M$2:$M$100, RawData!$I$2:$I$100, "&gt;="&amp;F5, RawData!$I$2:$I$100, "&lt;"&amp;G5)</f>
        <v/>
      </c>
      <c r="L5" t="n">
        <v>9.5</v>
      </c>
      <c r="M5" t="n">
        <v>10.1</v>
      </c>
      <c r="N5" t="inlineStr">
        <is>
          <t>9.5 초과</t>
        </is>
      </c>
      <c r="O5">
        <f>COUNTIFS(RawData!$M$2:$M$100, "&gt;="&amp;L5, RawData!$M$2:$M$100, "&lt;"&amp;M5)</f>
        <v/>
      </c>
      <c r="P5">
        <f>AVERAGEIFS(RawData!$L$2:$L$100, RawData!$M$2:$M$100, "&gt;="&amp;L5, RawData!$M$2:$M$100, "&lt;"&amp;M5)</f>
        <v/>
      </c>
    </row>
    <row r="6">
      <c r="A6" t="inlineStr">
        <is>
          <t>생각의길</t>
        </is>
      </c>
      <c r="B6">
        <f>COUNTIF(RawData!$F$2:$F$100, A6)</f>
        <v/>
      </c>
      <c r="C6">
        <f>AVERAGEIF(RawData!$F$2:$F$100, A6, RawData!$M$2:$M$100)</f>
        <v/>
      </c>
      <c r="D6">
        <f>SUMIF(RawData!$F$2:$F$100, A6, RawData!$L$2:$L$100)</f>
        <v/>
      </c>
      <c r="F6" t="n">
        <v>25000</v>
      </c>
      <c r="G6" t="n">
        <v>30000</v>
      </c>
      <c r="H6" t="inlineStr">
        <is>
          <t>2.5만~3만원</t>
        </is>
      </c>
      <c r="I6">
        <f>COUNTIFS(RawData!$I$2:$I$100, "&gt;="&amp;F6, RawData!$I$2:$I$100, "&lt;"&amp;G6)</f>
        <v/>
      </c>
      <c r="J6">
        <f>AVERAGEIFS(RawData!$M$2:$M$100, RawData!$I$2:$I$100, "&gt;="&amp;F6, RawData!$I$2:$I$100, "&lt;"&amp;G6)</f>
        <v/>
      </c>
    </row>
    <row r="7">
      <c r="A7" t="inlineStr">
        <is>
          <t>비상교육</t>
        </is>
      </c>
      <c r="B7">
        <f>COUNTIF(RawData!$F$2:$F$100, A7)</f>
        <v/>
      </c>
      <c r="C7">
        <f>AVERAGEIF(RawData!$F$2:$F$100, A7, RawData!$M$2:$M$100)</f>
        <v/>
      </c>
      <c r="D7">
        <f>SUMIF(RawData!$F$2:$F$100, A7, RawData!$L$2:$L$100)</f>
        <v/>
      </c>
      <c r="F7" t="n">
        <v>30000</v>
      </c>
      <c r="G7" t="n">
        <v>999999</v>
      </c>
      <c r="H7" t="inlineStr">
        <is>
          <t>3만원 초과</t>
        </is>
      </c>
      <c r="I7">
        <f>COUNTIFS(RawData!$I$2:$I$100, "&gt;="&amp;F7, RawData!$I$2:$I$100, "&lt;"&amp;G7)</f>
        <v/>
      </c>
      <c r="J7">
        <f>AVERAGEIFS(RawData!$M$2:$M$100, RawData!$I$2:$I$100, "&gt;="&amp;F7, RawData!$I$2:$I$100, "&lt;"&amp;G7)</f>
        <v/>
      </c>
    </row>
    <row r="8">
      <c r="A8" t="inlineStr">
        <is>
          <t>더페이지</t>
        </is>
      </c>
      <c r="B8">
        <f>COUNTIF(RawData!$F$2:$F$100, A8)</f>
        <v/>
      </c>
      <c r="C8">
        <f>AVERAGEIF(RawData!$F$2:$F$100, A8, RawData!$M$2:$M$100)</f>
        <v/>
      </c>
      <c r="D8">
        <f>SUMIF(RawData!$F$2:$F$100, A8, RawData!$L$2:$L$100)</f>
        <v/>
      </c>
    </row>
    <row r="9">
      <c r="A9" t="inlineStr">
        <is>
          <t>허스트중앙</t>
        </is>
      </c>
      <c r="B9">
        <f>COUNTIF(RawData!$F$2:$F$100, A9)</f>
        <v/>
      </c>
      <c r="C9">
        <f>AVERAGEIF(RawData!$F$2:$F$100, A9, RawData!$M$2:$M$100)</f>
        <v/>
      </c>
      <c r="D9">
        <f>SUMIF(RawData!$F$2:$F$100, A9, RawData!$L$2:$L$100)</f>
        <v/>
      </c>
    </row>
    <row r="10">
      <c r="A10" t="inlineStr">
        <is>
          <t>미디어숲</t>
        </is>
      </c>
      <c r="B10">
        <f>COUNTIF(RawData!$F$2:$F$100, A10)</f>
        <v/>
      </c>
      <c r="C10">
        <f>AVERAGEIF(RawData!$F$2:$F$100, A10, RawData!$M$2:$M$100)</f>
        <v/>
      </c>
      <c r="D10">
        <f>SUMIF(RawData!$F$2:$F$100, A10, RawData!$L$2:$L$100)</f>
        <v/>
      </c>
    </row>
    <row r="11">
      <c r="A11" t="inlineStr">
        <is>
          <t>어센딩</t>
        </is>
      </c>
      <c r="B11">
        <f>COUNTIF(RawData!$F$2:$F$100, A11)</f>
        <v/>
      </c>
      <c r="C11">
        <f>AVERAGEIF(RawData!$F$2:$F$100, A11, RawData!$M$2:$M$100)</f>
        <v/>
      </c>
      <c r="D11">
        <f>SUMIF(RawData!$F$2:$F$100, A11, RawData!$L$2:$L$100)</f>
        <v/>
      </c>
    </row>
    <row r="12">
      <c r="A12" t="inlineStr">
        <is>
          <t>대원씨아이</t>
        </is>
      </c>
      <c r="B12">
        <f>COUNTIF(RawData!$F$2:$F$100, A12)</f>
        <v/>
      </c>
      <c r="C12">
        <f>AVERAGEIF(RawData!$F$2:$F$100, A12, RawData!$M$2:$M$100)</f>
        <v/>
      </c>
      <c r="D12">
        <f>SUMIF(RawData!$F$2:$F$100, A12, RawData!$L$2:$L$100)</f>
        <v/>
      </c>
    </row>
    <row r="13">
      <c r="A13" t="inlineStr">
        <is>
          <t>이든서재</t>
        </is>
      </c>
      <c r="B13">
        <f>COUNTIF(RawData!$F$2:$F$100, A13)</f>
        <v/>
      </c>
      <c r="C13">
        <f>AVERAGEIF(RawData!$F$2:$F$100, A13, RawData!$M$2:$M$100)</f>
        <v/>
      </c>
      <c r="D13">
        <f>SUMIF(RawData!$F$2:$F$100, A13, RawData!$L$2:$L$100)</f>
        <v/>
      </c>
    </row>
    <row r="14">
      <c r="A14" t="inlineStr">
        <is>
          <t>문학동네</t>
        </is>
      </c>
      <c r="B14">
        <f>COUNTIF(RawData!$F$2:$F$100, A14)</f>
        <v/>
      </c>
      <c r="C14">
        <f>AVERAGEIF(RawData!$F$2:$F$100, A14, RawData!$M$2:$M$100)</f>
        <v/>
      </c>
      <c r="D14">
        <f>SUMIF(RawData!$F$2:$F$100, A14, RawData!$L$2:$L$100)</f>
        <v/>
      </c>
    </row>
    <row r="15">
      <c r="A15" t="inlineStr">
        <is>
          <t>알토북스</t>
        </is>
      </c>
      <c r="B15">
        <f>COUNTIF(RawData!$F$2:$F$100, A15)</f>
        <v/>
      </c>
      <c r="C15">
        <f>AVERAGEIF(RawData!$F$2:$F$100, A15, RawData!$M$2:$M$100)</f>
        <v/>
      </c>
      <c r="D15">
        <f>SUMIF(RawData!$F$2:$F$100, A15, RawData!$L$2:$L$100)</f>
        <v/>
      </c>
    </row>
    <row r="16">
      <c r="A16" t="inlineStr">
        <is>
          <t>북플레저</t>
        </is>
      </c>
      <c r="B16">
        <f>COUNTIF(RawData!$F$2:$F$100, A16)</f>
        <v/>
      </c>
      <c r="C16">
        <f>AVERAGEIF(RawData!$F$2:$F$100, A16, RawData!$M$2:$M$100)</f>
        <v/>
      </c>
      <c r="D16">
        <f>SUMIF(RawData!$F$2:$F$100, A16, RawData!$L$2:$L$100)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
  <sheetViews>
    <sheetView showGridLines="1" workbookViewId="0">
      <selection activeCell="A1" sqref="A1"/>
    </sheetView>
  </sheetViews>
  <sheetFormatPr baseColWidth="8" defaultRowHeight="15"/>
  <cols>
    <col width="16" customWidth="1" min="1" max="1"/>
    <col width="10" customWidth="1" min="2" max="2"/>
    <col width="45" customWidth="1" min="3" max="3"/>
    <col width="45" customWidth="1" min="4" max="4"/>
    <col width="23" customWidth="1" min="5" max="5"/>
    <col width="25" customWidth="1" min="6" max="6"/>
    <col width="13" customWidth="1" min="7" max="7"/>
    <col width="10" customWidth="1" min="8" max="8"/>
    <col width="10" customWidth="1" min="9" max="9"/>
    <col width="10" customWidth="1" min="10" max="10"/>
    <col width="11" customWidth="1" min="11" max="11"/>
    <col width="11" customWidth="1" min="12" max="12"/>
    <col width="10" customWidth="1" min="13" max="13"/>
    <col width="16" customWidth="1" min="14" max="14"/>
    <col width="45" customWidth="1" min="15" max="15"/>
  </cols>
  <sheetData>
    <row r="1">
      <c r="A1" s="12" t="inlineStr">
        <is>
          <t>상품번호</t>
        </is>
      </c>
      <c r="B1" s="12" t="inlineStr">
        <is>
          <t>순위</t>
        </is>
      </c>
      <c r="C1" s="12" t="inlineStr">
        <is>
          <t>도서명</t>
        </is>
      </c>
      <c r="D1" s="12" t="inlineStr">
        <is>
          <t>부제목</t>
        </is>
      </c>
      <c r="E1" s="12" t="inlineStr">
        <is>
          <t>저자</t>
        </is>
      </c>
      <c r="F1" s="12" t="inlineStr">
        <is>
          <t>출판사</t>
        </is>
      </c>
      <c r="G1" s="12" t="inlineStr">
        <is>
          <t>출판일</t>
        </is>
      </c>
      <c r="H1" s="12" t="inlineStr">
        <is>
          <t>정가</t>
        </is>
      </c>
      <c r="I1" s="12" t="inlineStr">
        <is>
          <t>할인가</t>
        </is>
      </c>
      <c r="J1" s="12" t="inlineStr">
        <is>
          <t>할인율</t>
        </is>
      </c>
      <c r="K1" s="12" t="inlineStr">
        <is>
          <t>판매지수</t>
        </is>
      </c>
      <c r="L1" s="12" t="inlineStr">
        <is>
          <t>리뷰건수</t>
        </is>
      </c>
      <c r="M1" s="12" t="inlineStr">
        <is>
          <t>평점</t>
        </is>
      </c>
      <c r="N1" s="12" t="inlineStr">
        <is>
          <t>태그</t>
        </is>
      </c>
      <c r="O1" s="12" t="inlineStr">
        <is>
          <t>이미지URL</t>
        </is>
      </c>
    </row>
    <row r="2">
      <c r="A2" t="inlineStr">
        <is>
          <t>S000220574468</t>
        </is>
      </c>
      <c r="B2" t="n">
        <v>1</v>
      </c>
      <c r="C2" t="inlineStr">
        <is>
          <t>지큐 코리아(GQ KOREA)(2026년 8월호)(C형)</t>
        </is>
      </c>
      <c r="D2"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2" t="inlineStr">
        <is>
          <t>두산매거진 편집부</t>
        </is>
      </c>
      <c r="F2" t="inlineStr">
        <is>
          <t>두산매거진</t>
        </is>
      </c>
      <c r="G2" t="inlineStr">
        <is>
          <t>2026-07-27</t>
        </is>
      </c>
      <c r="H2" t="n">
        <v>10000</v>
      </c>
      <c r="I2" t="n">
        <v>9500</v>
      </c>
      <c r="J2" t="n">
        <v>5</v>
      </c>
      <c r="K2" t="n">
        <v>0</v>
      </c>
      <c r="L2" t="n">
        <v>0</v>
      </c>
      <c r="M2" t="n">
        <v>0</v>
      </c>
      <c r="N2" t="inlineStr">
        <is>
          <t>잡지</t>
        </is>
      </c>
      <c r="O2" t="inlineStr">
        <is>
          <t>https://contents.kyobobook.co.kr/sih/fit-in/200x0/pdt/3904000621838.jpg</t>
        </is>
      </c>
    </row>
    <row r="3">
      <c r="A3" t="inlineStr">
        <is>
          <t>S000220574458</t>
        </is>
      </c>
      <c r="B3" t="n">
        <v>2</v>
      </c>
      <c r="C3" t="inlineStr">
        <is>
          <t>지큐 코리아(GQ KOREA)(2026년 8월호)(A형)</t>
        </is>
      </c>
      <c r="D3"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3" t="inlineStr">
        <is>
          <t>두산매거진 편집부</t>
        </is>
      </c>
      <c r="F3" t="inlineStr">
        <is>
          <t>두산매거진</t>
        </is>
      </c>
      <c r="G3" t="inlineStr">
        <is>
          <t>2026-07-27</t>
        </is>
      </c>
      <c r="H3" t="n">
        <v>10000</v>
      </c>
      <c r="I3" t="n">
        <v>9500</v>
      </c>
      <c r="J3" t="n">
        <v>5</v>
      </c>
      <c r="K3" t="n">
        <v>0</v>
      </c>
      <c r="L3" t="n">
        <v>0</v>
      </c>
      <c r="M3" t="n">
        <v>0</v>
      </c>
      <c r="N3" t="inlineStr">
        <is>
          <t>잡지</t>
        </is>
      </c>
      <c r="O3" t="inlineStr">
        <is>
          <t>https://contents.kyobobook.co.kr/sih/fit-in/200x0/pdt/3904000621814.jpg</t>
        </is>
      </c>
    </row>
    <row r="4">
      <c r="A4" t="inlineStr">
        <is>
          <t>S000220429584</t>
        </is>
      </c>
      <c r="B4" t="n">
        <v>3</v>
      </c>
      <c r="C4" t="inlineStr">
        <is>
          <t>유럽 도시 기행 3</t>
        </is>
      </c>
      <c r="D4" t="inlineStr">
        <is>
          <t>유럽의 서쪽 끝에서 만난, 가장 인간적인 도시들
『유럽도시기행 3』은 유라시아 대륙의 서쪽 끝, 이베리아반도의 네 도시로 독자를 이끈다. 한때 세계사의 항로를 바꾼 대항해 시대의 주역이었지만, 이후 내전과 독재, 혁명과 재건을 겪으며 쇠퇴와 정체, 혼란과 회복의 시간을 통과해 온 도시들이다. 유시민 작가는 이 도시들을 빠르게 소비하기보다 거리와 광장, 미술관과 시장, 성당과 골목, 식당과 강변을 천천히 걸으며 도시가 무엇을 기억하고 사람들이 무엇을 사랑하며 오늘을 살아가는지 들여다본다.
“정복 전쟁을 일삼았던 포르투갈 왕국은 대항해 시대의 짧은 전성기를 지나 유럽의 변방 국가로 되돌아왔다. 공화주의 혁명을 이룬 뒤에는 살라자르의 장기독재를 겪었다. 그런 역사를 살아온 사람이라면 이렇게 생각할 수 있을 것이다. ‘힘을 다해 이웃과 싸우면서 남을 정복했지만, 승리는 오래가지 않았고 남은 것도 없다. … 이웃을 적으로 삼기보다는 서로 기댈 수 있는 친구로 만드는 게 낫지 않겠는가. …그런 생각을 가진 사람은 붐비는 거리에서도 발걸음을 재촉하지 않는다. 친구나 사업 파트너를 만나면 차 한 잔을 앞에 두고 충분히 들으면서 오래 이야기를 나눈다. 이방인에게도 경계하고 의심하는 표정이 아니라 여유롭게 환대하는 미소를 선사한다. 리스본과 뽀르투 사람들한테서 나는 그런 마음을 느꼈다.”
“규모가 작지 않지만, 모든 것이 소박한 성당이었다. 스테인드글라스는 최소한의 자연광을 받아들이는 수준이었고 설교대는 조그마했으며 홀에는 기다란 나무 의자 말고는 아무것도 없었다. 가족을 두고 위험이 넘실대는 바다로 나갔던 어부들의 마음이, 출항할 때마다 일렁거렸을 불안감이, 만선의 꿈을 이루고 회항하면서 느꼈을 안도감이 느껴졌다.”
“역시 파두는 술잔을 기울이며 듣는 게 맛있었다. 오르막 골목길, 예배당 건물이었음을 짐작할 수 있는 외관, 은은하게 새어 나오는 불빛, 꾸밈없는 무대, 허세를 내뿜는 가수들의 몸짓까지 모든 것이 이국적이었다. ‘그래, 유럽 여행은 이런 맛이지.’”
작가가 들여다본 네 도시는 인간적이다. 도시의 역사가 만들어낸 영광과 몰락, 자부심과 상처, 슬픔과 유머, 결핍과 환대, 기억과 망각이 도시의 거리와 광장과 식탁 위에 고스란히 놓여있다. 이 도시들은 인간이 살아가며 겪는 거의 모든 감정을 품고 있다. 그래서 이름난 랜드마크보다 그곳 사람들의 표정, 저녁의 광장, 골목의 소음, 한 잔의 와인, 낡은 성당 안의 침묵이 작가의 마음에 더 오래 남는다. 『유럽도시기행 3』은 유시민 작가의 시선으로 포착한 유럽의 또 다른 얼굴, 가장 인간적인 도시로 우리를 안내한다.</t>
        </is>
      </c>
      <c r="E4" t="inlineStr">
        <is>
          <t>유시민</t>
        </is>
      </c>
      <c r="F4" t="inlineStr">
        <is>
          <t>생각의길</t>
        </is>
      </c>
      <c r="G4" t="inlineStr">
        <is>
          <t>2026-07-09</t>
        </is>
      </c>
      <c r="H4" t="n">
        <v>18900</v>
      </c>
      <c r="I4" t="n">
        <v>17010</v>
      </c>
      <c r="J4" t="n">
        <v>10</v>
      </c>
      <c r="K4" t="n">
        <v>0</v>
      </c>
      <c r="L4" t="n">
        <v>62</v>
      </c>
      <c r="M4" t="n">
        <v>9.93</v>
      </c>
      <c r="N4" t="inlineStr">
        <is>
          <t>인문</t>
        </is>
      </c>
      <c r="O4" t="inlineStr">
        <is>
          <t>https://contents.kyobobook.co.kr/sih/fit-in/200x0/pdt/9788965138310.jpg</t>
        </is>
      </c>
    </row>
    <row r="5">
      <c r="A5" t="inlineStr">
        <is>
          <t>S000220574470</t>
        </is>
      </c>
      <c r="B5" t="n">
        <v>4</v>
      </c>
      <c r="C5" t="inlineStr">
        <is>
          <t>지큐 코리아(GQ KOREA)(2026년 8월호)(D형)</t>
        </is>
      </c>
      <c r="D5"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5" t="inlineStr">
        <is>
          <t>두산매거진 편집부</t>
        </is>
      </c>
      <c r="F5" t="inlineStr">
        <is>
          <t>두산매거진</t>
        </is>
      </c>
      <c r="G5" t="inlineStr">
        <is>
          <t>2026-07-27</t>
        </is>
      </c>
      <c r="H5" t="n">
        <v>10000</v>
      </c>
      <c r="I5" t="n">
        <v>9500</v>
      </c>
      <c r="J5" t="n">
        <v>5</v>
      </c>
      <c r="K5" t="n">
        <v>0</v>
      </c>
      <c r="L5" t="n">
        <v>0</v>
      </c>
      <c r="M5" t="n">
        <v>0</v>
      </c>
      <c r="N5" t="inlineStr">
        <is>
          <t>잡지</t>
        </is>
      </c>
      <c r="O5" t="inlineStr">
        <is>
          <t>https://contents.kyobobook.co.kr/sih/fit-in/200x0/pdt/3904000621845.jpg</t>
        </is>
      </c>
    </row>
    <row r="6">
      <c r="A6" t="inlineStr">
        <is>
          <t>S000220574464</t>
        </is>
      </c>
      <c r="B6" t="n">
        <v>5</v>
      </c>
      <c r="C6" t="inlineStr">
        <is>
          <t>지큐 코리아(GQ KOREA)(2026년 8월호)(B형)</t>
        </is>
      </c>
      <c r="D6"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6" t="inlineStr">
        <is>
          <t>두산매거진 편집부</t>
        </is>
      </c>
      <c r="F6" t="inlineStr">
        <is>
          <t>두산잡지BU</t>
        </is>
      </c>
      <c r="G6" t="inlineStr">
        <is>
          <t>2026-07-27</t>
        </is>
      </c>
      <c r="H6" t="n">
        <v>10000</v>
      </c>
      <c r="I6" t="n">
        <v>9500</v>
      </c>
      <c r="J6" t="n">
        <v>5</v>
      </c>
      <c r="K6" t="n">
        <v>0</v>
      </c>
      <c r="L6" t="n">
        <v>0</v>
      </c>
      <c r="M6" t="n">
        <v>0</v>
      </c>
      <c r="N6" t="inlineStr">
        <is>
          <t>잡지</t>
        </is>
      </c>
      <c r="O6" t="inlineStr">
        <is>
          <t>https://contents.kyobobook.co.kr/sih/fit-in/200x0/pdt/3904000621821.jpg</t>
        </is>
      </c>
    </row>
    <row r="7">
      <c r="A7" t="inlineStr">
        <is>
          <t>S000220279442</t>
        </is>
      </c>
      <c r="B7" t="n">
        <v>6</v>
      </c>
      <c r="C7" t="inlineStr">
        <is>
          <t>니체와 함께 지적 대화를</t>
        </is>
      </c>
      <c r="D7" t="inlineStr">
        <is>
          <t>니체는 오늘날 철학자들 가운데 가장 많이 읽히고 인기 있는 철학자다. 대부분 ‘니체’ 하면 “신은 죽었다”라는 말이나 ‘초인(Ubermensch)’, ‘아모르 파티(Amor Fati)’를 떠올린다. 그러면서 자신도 니체 같은 생각을 하며 살아간다고 말한다. 그렇다면 과연 ‘니체 같은’ 생각이란 무엇일까? 또 니체 철학을 제대로 이해하고 실천하는 것일까? 《니체와 함께 지적 대화를》은 이러한 질문에서 비롯되었다.
사실 니체 철학은 어렵다. 지금까지 수많은 니체 철학책이 나왔고, 대중적으로도 널리 알려졌지만, 니체 특유의 문체와 비유로 인해 그 내용의 진의를 파악하기란 쉽지 않다. 이렇듯 ‘읽기 어려운’ 독자들을 위해 오랫동안 니체를 비롯한 철학을 깊이 탐구해 온 양원근 작가가 니체 철학을 삶에 녹여낸 철학책을 펼쳐냈다. 이 책은 니체 철학의 원문을 바탕으로 니체가 전하려던 핵심 메시지를 쉽게 이해하고, 자기 삶에 적용할 수 있도록 작가가 직접 경험한 사례와 깨달음을 담아냈다. 니체를 잘 모르는 독자들은 물론, 이미 니체 철학을 접한 독자들 역시 이 책을 통해 니체 철학에 대한 이해의 폭이 더 넓어져 관계와 일, 감정과 태도의 변화를 경험할 수 있다.
“철학은 느리다. 하지만 빨리 가는 것보다 ‘내가 왜 그 길을 가는지’ 아는 일이 중요하다. 마찬가지로 니체를 통해 더 많은 답을 얻기보다 더 ‘깊은 질문’을 품게 되기를 바란다. 그 질문 끝에서 자기 삶을 조금 더 용기 있게, 조금 더 정직하게, 조금 더 사랑하며 살아가기를 바란다.”
양원근 작가의 말이다. 사실 우리는 남들 눈치를 보느라, 착하게 보이기 위해, 또는 실패가 두려워서 자신을 희생하거나 괴롭히는 일이 많다. 그의 말처럼 ‘깊은 질문’을 품는다면 스스로 가장 ‘깊은 답’을 찾을 수 있다. 
이 책은 그저 단순히 ‘읽고 끝나는’ 철학책이 아니라, 자기 삶을 재구성하게 만드는 ‘실천하는 철학’의 안내서다. 독자들은 이 책을 통해 ‘진짜 나’를 발견하여 타인의 기준이 아닌 ‘내 삶의 주인’으로서 자아를 실현하고, 삶의 진정한 가치를 추구하게 될 것이다. 지금 삶의 고통과 괴로움에 지쳐있다면, 인생을 살아가는 이유와 목적을 몰라 혼란스럽다면, 내 인생을 ‘나답게’ 살고 싶다면 바로 니체와의 지적 대화가 필요한 순간이다. 《니체와 함께 지적 대화를》이 해결책이 되어줄 것이다.</t>
        </is>
      </c>
      <c r="E7" t="inlineStr">
        <is>
          <t>양원근</t>
        </is>
      </c>
      <c r="F7" t="inlineStr">
        <is>
          <t>리미트리스</t>
        </is>
      </c>
      <c r="G7" t="inlineStr">
        <is>
          <t>2026-06-23</t>
        </is>
      </c>
      <c r="H7" t="n">
        <v>18800</v>
      </c>
      <c r="I7" t="n">
        <v>16920</v>
      </c>
      <c r="J7" t="n">
        <v>10</v>
      </c>
      <c r="K7" t="n">
        <v>0</v>
      </c>
      <c r="L7" t="n">
        <v>67</v>
      </c>
      <c r="M7" t="n">
        <v>9.9</v>
      </c>
      <c r="N7" t="inlineStr">
        <is>
          <t>인문</t>
        </is>
      </c>
      <c r="O7" t="inlineStr">
        <is>
          <t>https://contents.kyobobook.co.kr/sih/fit-in/200x0/pdt/9791198409690.jpg</t>
        </is>
      </c>
    </row>
    <row r="8">
      <c r="A8" t="inlineStr">
        <is>
          <t>S000000620195</t>
        </is>
      </c>
      <c r="B8" t="n">
        <v>7</v>
      </c>
      <c r="C8" t="inlineStr">
        <is>
          <t>싯다르타</t>
        </is>
      </c>
      <c r="D8" t="inlineStr">
        <is>
          <t>인도에서 가장 높은 계급인 브라만의 아들 싯다르타는 깨달음을 얻기 위해 아버지의 만류에도 친구 고빈다와 함께 출가한다. 그는 불교를 창시한 석가모니 수하에서 수행할 기회를 얻지만, 부처의 가르침을 통해서가 아니라 스스로 깨달음을 찾아야 한다는 것을 깨닫고는 친구 고빈다를 두고 홀로 길을 떠난다. 이후 싯다르타는 중년이 될 때까지 사랑하는 여인과 부유한 상인을 만나 세속의 욕망을 즐기다가 그에 찌든 자신을 발견하고 모든 것을 버린 채 뱃사공이 된다.
『싯다르타』는 헤세가 거의 일 년 반 동안 창작이 거의 불가능할 정도로 심한 우울증을 앓다가 정신 치료를 받은 후 발표한 작품이다. 동서양의 정신적 유산을 시적으로 승화한 일종의 종교적 성장소설로 볼 수 있는데 영원을 향한 갈망과 인간의 내면을 깊이 파고드는 초월에 대한 의지를 단순하고도 서정적인 문체로 담아냈다. 정형화된 종교 교리와 자족적인 영혼의 성찰 사이의 고뇌를 섬세하게 그리며 자아 발견을 위한 길이 하나로 정해져 있지 않음을 시사하고 철학이나 종교, 그 밖의 모든 신념에 맹목적으로 의지하고자 하는 고정관념에 도전한 작품이다.</t>
        </is>
      </c>
      <c r="E8" t="inlineStr">
        <is>
          <t>헤르만 헤세</t>
        </is>
      </c>
      <c r="F8" t="inlineStr">
        <is>
          <t>민음사</t>
        </is>
      </c>
      <c r="G8" t="inlineStr">
        <is>
          <t>2002-01-20</t>
        </is>
      </c>
      <c r="H8" t="n">
        <v>8000</v>
      </c>
      <c r="I8" t="n">
        <v>7200</v>
      </c>
      <c r="J8" t="n">
        <v>10</v>
      </c>
      <c r="K8" t="n">
        <v>0</v>
      </c>
      <c r="L8" t="n">
        <v>1533</v>
      </c>
      <c r="M8" t="n">
        <v>9.74</v>
      </c>
      <c r="N8" t="inlineStr">
        <is>
          <t>소설</t>
        </is>
      </c>
      <c r="O8" t="inlineStr">
        <is>
          <t>https://contents.kyobobook.co.kr/sih/fit-in/200x0/pdt/9788937460586.jpg</t>
        </is>
      </c>
    </row>
    <row r="9">
      <c r="A9" t="inlineStr">
        <is>
          <t>S000219790863</t>
        </is>
      </c>
      <c r="B9" t="n">
        <v>8</v>
      </c>
      <c r="C9" t="inlineStr">
        <is>
          <t>AI 이후의 미래 어떻게 될 것인가</t>
        </is>
      </c>
      <c r="D9" t="inlineStr">
        <is>
          <t>세계 산업 전반을 뒤흔드는 AI 운영체제,
부와 권력은 어디로 향하는가
“AI는 도구가 아니라 새로운 ‘지배 시스템’이다”
AI는 아직 머나먼 미래라고 생각하는 사람들이 있다. 신기술은 늘 과장되기 마련이고, 현실화하는 데는 충분한 시간이 필요하다고 생각한다. 하지만 이런 낙관은 시대의 낙오자를 만드는 안일한 사고일 뿐이다. 인터넷이 그랬고, 스마트폰이 그랬다. 변화를 과소평가한 사람들은 늘 뒤늦게 따라붙었고, 그 사이에 기회는 이미 다른 사람들의 몫이 되었다. 지금 우리가 마주한 AI 역시 예외가 아니다. 문제는 변화의 속도가 아니라, 우리가 얼마나 빠르게 그리고 제대로 대응하느냐다.
이 책의 저자 제이슨 솅커는 AI가 불러일으키는 변화를 단순한 전망이 아니라 ‘불가피한 현실’로 다룬다. ‘블룸버그가 선정한 세계 1위 미래 전략가’라는 수식이 과장이 아닌 이유는, 데이터에 기반한 그의 분석이 실제 시장과 정책 결정의 현장에서 활용되기 때문이다. 그는 금융·에너지·고용·지정학적 리스크까지 다양한 영역에서 예측 정확도를 입증해 왔고, 미국 국방부와 중앙정보국, 글로벌 기업들을 상대로 전략 자문을 제공해 왔다. 그간의 통찰을 바탕으로 그는 미래가 실제로 어떻게 전개될지를 구체적으로 설명한다. 
AI는 특정 분야에서 쓰이는 도구가 아니라, 거의 모든 분야에서 기본 전제가 되는 인프라로 자리 잡고 있다. 전기나 인터넷이 그랬듯이, 한때는 혁신이었던 기술이 어느 순간 ‘당연한 것’이 되는 지점에 도달하는 것이다. 이 책이 주목하는 것은 바로 그 전환의 순간이다. 
AI가 경제와 산업을 움직이는 ‘보이지 않는 운영체제’가 되어 가는 과정을 짚으며, 그 전환이 개인의 커리어, 기업의 경쟁력, 국가의 전략에 어떤 영향을 미치는지를 체계적으로 풀어낸다.
특히 눈여겨볼 점은 이 책이 단순한 전망이나 가능성의 나열에 머물지 않는다는 것이다. 무엇이 바뀌는지에 대한 설명을 넘어, 그 변화 속에서 어떤 선택을 해야 하는지를 분명하게 제시한다. AI가 생산성을 어떻게 끌어올리는지, 왜 일부 직무는 빠르게 사라지고 다른 역할은 더 중요해지는지, 그리고 기업이 어떤 방향으로 전략을 수정해야 하는지를 실제 사례와 함께 보여준다. 이는 기술에 대한 이해를 넘어, 의사결정을 위한 기준을 제공한다는 점에서 다른 AI 관련 서적들과 분명히 구별된다.
이 책을 읽다 보면 자연스럽게 한 가지 질문에 이르게 된다. 
“이 변화가 분명하다면, 나는 어디에 서게 될 것인가?” 
이미 AI를 활용해 더 높은 생산성과 성과를 만들어내는 사람들과, 여전히 변화의 바깥에서 상황을 관망하는 사람들 사이의 간극은 점점 더 벌어지고 있다. 변화는 이미 시작되었다. 이 책은 그 변화의 방향을 보여주고, 어디에서 기회를 포착해야 하는지를 명확하게 짚는다. 이제 필요한 것은 더 많은 정보가 아니라, 더 빠른 이해와 더 정확한 판단이다. 그런 의미에서 이 책은 단순히 AI를 설명하는 것이 아니라, 앞으로의 삶을 어떻게 살아갈 것인지에 대한 판단 기준을 제공한다. 그리고 그 판단을 미루는 대가는 생각보다 훨씬 클 것이다.</t>
        </is>
      </c>
      <c r="E9" t="inlineStr">
        <is>
          <t>제이슨 솅커</t>
        </is>
      </c>
      <c r="F9" t="inlineStr">
        <is>
          <t>더페이지</t>
        </is>
      </c>
      <c r="G9" t="inlineStr">
        <is>
          <t>2026-05-10</t>
        </is>
      </c>
      <c r="H9" t="n">
        <v>18800</v>
      </c>
      <c r="I9" t="n">
        <v>16920</v>
      </c>
      <c r="J9" t="n">
        <v>10</v>
      </c>
      <c r="K9" t="n">
        <v>0</v>
      </c>
      <c r="L9" t="n">
        <v>141</v>
      </c>
      <c r="M9" t="n">
        <v>9.539999999999999</v>
      </c>
      <c r="N9" t="inlineStr">
        <is>
          <t>경제/경영</t>
        </is>
      </c>
      <c r="O9" t="inlineStr">
        <is>
          <t>https://contents.kyobobook.co.kr/sih/fit-in/200x0/pdt/9791194156413.jpg</t>
        </is>
      </c>
    </row>
    <row r="10">
      <c r="A10" t="inlineStr">
        <is>
          <t>S000220574443</t>
        </is>
      </c>
      <c r="B10" t="n">
        <v>9</v>
      </c>
      <c r="C10" t="inlineStr">
        <is>
          <t>바자(2026년 8월호)</t>
        </is>
      </c>
      <c r="D10" t="inlineStr">
        <is>
          <t>현대 여성의 문화와 스타일- 그 속에 담긴 영감을 담다. 『바자(BAZAAR)』는 1867년 처음 선보인 이후 151년동안 고유의 정체성을 지켜오며 아름답고 예술적인 뮤즈와 비교할 수 없는 특유의 스타일로 현대 여성들의 문화와 스타일을 제공해왔다.</t>
        </is>
      </c>
      <c r="E10" t="inlineStr">
        <is>
          <t>허스트중앙 편집부</t>
        </is>
      </c>
      <c r="F10" t="inlineStr">
        <is>
          <t>허스트중앙</t>
        </is>
      </c>
      <c r="G10" t="inlineStr">
        <is>
          <t>2026-07-23</t>
        </is>
      </c>
      <c r="H10" t="n">
        <v>7000</v>
      </c>
      <c r="I10" t="n">
        <v>6650</v>
      </c>
      <c r="J10" t="n">
        <v>5</v>
      </c>
      <c r="K10" t="n">
        <v>0</v>
      </c>
      <c r="L10" t="n">
        <v>0</v>
      </c>
      <c r="M10" t="n">
        <v>0</v>
      </c>
      <c r="N10" t="inlineStr">
        <is>
          <t>잡지</t>
        </is>
      </c>
      <c r="O10" t="inlineStr">
        <is>
          <t>https://contents.kyobobook.co.kr/sih/fit-in/200x0/pdt/3904000621784.jpg</t>
        </is>
      </c>
    </row>
    <row r="11">
      <c r="A11" t="inlineStr">
        <is>
          <t>S000220447871</t>
        </is>
      </c>
      <c r="B11" t="n">
        <v>10</v>
      </c>
      <c r="C11" t="inlineStr">
        <is>
          <t>공부 천재들의 남다른 AI 활용법</t>
        </is>
      </c>
      <c r="D11" t="inlineStr">
        <is>
          <t>요즘 교실 풍경은 생성형 AI의 출시 전과 후로 완전히 달라졌다. 학생들은 수행 평가가 시작되면 스마트폰과 태블릿 PC부터 켠다. 모르는 내용은 검색하고, 발표 자료는 캔바로 만들고, ChatGPT에게 발표 대본을 물어본다. 안타깝게도 대부분의 학생이 AI를 ‘대신 답을 찾아 주는 기계’로 사용하는 것이 현실이다. 그렇게 쓰면 숙제를 끝내도 자신의 실력은 전혀 늘지 않는다. 오히려 AI에게 공부할 기회를 빼앗기는 셈이다. 다 같이 AI를 쓰는데도 실력이 갈리는 이유다. 무엇을, 어떻게, 어디까지 써야 하는지 모르면 AI는 오히려 내 공부를 망치는 지름길이 된다.
이 책은 학교 현장에서 학생들을 직접 지도하며 검증한 중고등학생 맞춤 AI 활용법을 담았다. 수행 평가와 진로 상담, 학생부 관리와 학습 코칭을 해 온 현직 교사가 ‘지금 학생들에게 정말 필요한 전략은 무엇인가’를 고민한 끝에 찾아낸 가장 실용적이고 현실적인 로드맵이다.
PPT를 어떻게 만들어야 할지 몰라 막막해하는 학생에게는 캔바(Canva)로 발표 자료를 빠르게 구성하는 방법을 알려 주고, ChatGPT를 단순 대답 생성기가 아닌 ‘보조 교사’처럼 활용하는 질문법을 설명한다. 발표 시간마다 고개를 숙인 채 화면만 읽는 학생에게는 청중과 눈을 맞추는 기술을 알려 주고, 조별 과제의 문제를 해결하기 위한 협업 시스템까지 제안한다. 여기서 끝나지 않는다. 수행 평가 결과물을 단순 제출용 과제가 아닌 학생부와 연결하여 디지털 포트폴리오로 확장하는 방법, 유튜브 시청 기록과 SNS를 통해 자신의 진로를 찾는 단서를 발견하는 방법까지 제공한다. 수행 평가, 발표, 학생부, 진로 설계까지 하나의 흐름으로 연결되면서 ‘과제 잘하는 법’을 넘어 ‘자기만의 공부 시스템을 만드는 법’을 익힐 수 있다. 
이제 AI를 쓸지 말지를 고민하는 단계는 지났다. 중요한 것은 ‘얼마나 잘 활용하느냐’다. 제대로 활용한 AI는 단순히 답을 대신 찾아 주는 도구가 아니라, 생각의 폭과 깊이를 넓혀 주는 나만의 공부 도구가 된다. 이제 공부는 오래 앉아 있는 학생보다 디지털 도구를 똑똑하게 활용하는 학생이 앞서가는 시대가 되었다. 이 책은 그 차이를 만드는 가장 현실적인 AI 활용법을 담았다.</t>
        </is>
      </c>
      <c r="E11" t="inlineStr">
        <is>
          <t>이보미</t>
        </is>
      </c>
      <c r="F11" t="inlineStr">
        <is>
          <t>미디어숲</t>
        </is>
      </c>
      <c r="G11" t="inlineStr">
        <is>
          <t>2026-07-20</t>
        </is>
      </c>
      <c r="H11" t="n">
        <v>17800</v>
      </c>
      <c r="I11" t="n">
        <v>16020</v>
      </c>
      <c r="J11" t="n">
        <v>10</v>
      </c>
      <c r="K11" t="n">
        <v>0</v>
      </c>
      <c r="L11" t="n">
        <v>7</v>
      </c>
      <c r="M11" t="n">
        <v>10</v>
      </c>
      <c r="N11" t="inlineStr">
        <is>
          <t>청소년</t>
        </is>
      </c>
      <c r="O11" t="inlineStr">
        <is>
          <t>https://contents.kyobobook.co.kr/sih/fit-in/200x0/pdt/9791158749361.jpg</t>
        </is>
      </c>
    </row>
    <row r="12">
      <c r="A12" t="inlineStr">
        <is>
          <t>S000220500994</t>
        </is>
      </c>
      <c r="B12" t="n">
        <v>11</v>
      </c>
      <c r="C12" t="inlineStr">
        <is>
          <t>어떻게 살아낼 것인가</t>
        </is>
      </c>
      <c r="D12" t="inlineStr">
        <is>
          <t>10년에 걸친 연구, 34명의 삶, 총 2,809년의 생애 데이터로 밝혀낸
인생의 전환기를 통과하는 법
커리어의 정체, 번아웃, 은퇴, 상실…
삶의 전환기를 통과하는 모든 이들을 위한 책
20년간 아마존 경제경영 베스트셀러에 오른 《좋은 기업을 넘어 위대한 기업으로》의 저자 짐 콜린스가 신작 《어떻게 살아낼 것인가》로 돌아왔다. 세계적인 경영학자이자 비즈니스 구루인 그는 지난 30여 년간 위대한 기업과 리더의 조건을 연구하며 수많은 독자들에게 깊은 영향을 미쳐왔다. 그런 짐 콜린스가 이번에는 기업이 아닌 '인간의 삶' 자체를 연구 대상으로 삼았다. 그는 10년에 걸쳐 34명의 삶, 총 2,809년에 이르는 압도적인 생애 데이터를 추적하며 한 가지 질문에 몰두했다. 삶이 무너진 뒤, 사람은 어떻게 다시 자신을 만들어가는가.
《어떻게 살아낼 것인가》는 단순히 성공의 공식을 말하는 책이 아니다. 오히려 성공과 실패를 동시에 바라보며 누구나 삶에서 반복적으로 마주하게 되는 인생의 전환기를 어떻게 통과할 것인지를 탐구하는 인생 재건서다. 저자는 성공을 유지한 인물과 좌절 이후 다시 일어선 사람들의 생애를 깊이 분석하며, 삶의 위기 앞에서 자신을 재생시키는 공통의 원칙들을 발견해낸다.
성공했던 록 뮤지션, 명성을 잃은 공인, 목표를 달성한 운동선수와 사회운동가 등 다양한 인물들의 삶을 비교 분석하며, 인간은 어떻게 다시 삶의 방향을 찾고 새로운 의미를 만들어가는지를 보여준다. 성공 공식을 제시하는 대신, 무너진 뒤에도 다시 삶을 만들어가는 힘을 이야기한다는 점에서 기존 자기계발서와는 결이 다르다.
특히 이번 책은 짐 콜린스가 처음으로 자신의 이야기를 깊이 있게 풀어낸 책이라는 점에서도 의미가 크다. 그는 이 프로젝트를 통해 자신의 사고방식과 감정, 삶을 바라보는 태도까지 근본적으로 변화했다고 고백한다. “삶을 어떻게 만들어갈 것인가.” 이 질문에서 출발한 이 책은 결국 삶의 방향과 자기 이해에 관한 가장 본질적인 통찰로 이어진다. 오랫동안 위대한 기업의 조건을 연구해온 저자가 이제는 오래 살아남는 삶의 조건을 이야기한다는 점에서, 《어떻게 살아낼 것인가》는 짐 콜린스 사상의 새로운 전환점이자 완결편이라 할 수 있다.</t>
        </is>
      </c>
      <c r="E12" t="inlineStr">
        <is>
          <t>짐 콜린스</t>
        </is>
      </c>
      <c r="F12" t="inlineStr">
        <is>
          <t>필름(Feelm)</t>
        </is>
      </c>
      <c r="G12" t="inlineStr">
        <is>
          <t>2026-07-15</t>
        </is>
      </c>
      <c r="H12" t="n">
        <v>29800</v>
      </c>
      <c r="I12" t="n">
        <v>26820</v>
      </c>
      <c r="J12" t="n">
        <v>10</v>
      </c>
      <c r="K12" t="n">
        <v>0</v>
      </c>
      <c r="L12" t="n">
        <v>12</v>
      </c>
      <c r="M12" t="n">
        <v>10</v>
      </c>
      <c r="N12" t="inlineStr">
        <is>
          <t>자기계발</t>
        </is>
      </c>
      <c r="O12" t="inlineStr">
        <is>
          <t>https://contents.kyobobook.co.kr/sih/fit-in/200x0/pdt/9791124468272.jpg</t>
        </is>
      </c>
    </row>
    <row r="13">
      <c r="A13" t="inlineStr">
        <is>
          <t>S000220342712</t>
        </is>
      </c>
      <c r="B13" t="n">
        <v>12</v>
      </c>
      <c r="C13" t="inlineStr">
        <is>
          <t>부자들은 절대 속지 않는 돈의 함정</t>
        </is>
      </c>
      <c r="D13" t="inlineStr">
        <is>
          <t>매일 가계부를 쓰고 최저가를 검색하며 허리띠를 졸라매는데도 어쩐지 통장 잔고는 늘 제자리걸음이다. 이는 단순히 당신의 의지가 부족하거나 운이 없어서가 아니다. 우리는 흔히 돈을 아끼는 것이 곧 부로 가는 지름길이라 믿으며 살아간다. 하지만 역설적으로 그 절약에 대한 강박이 오히려 우리의 소중한 재산을 소리 없이 갉아먹는 주범이 되기도 한다. 할인쿠폰을 사용하기 위해 굳이 필요 없는 물건을 장바구니에 더 담거나, 당장의 지출을 줄이려다 미래의 더 큰 수익을 가져다줄 ‘기회’라는 자산을 놓치는 순간, 당신의 돈은 눈에 보이지 않는 미세한 균열을 일으키며 끊임없이 빠져나가게 된다. 이런 현상이 반복되는 근본적인 이유는 돈이 움직이는 세상의 원리를 읽어 내는 ‘인지의 힘’을 충분히 기르지 못했기 때문이다. 
저자는 이 책에서 우리가 벌 수 있는 돈은 결국 자신의 ‘인지 수준’에 대한 보상이라고 말한다. 우연히 큰돈을 손에 넣더라도 그 부를 담아낼 인지적 그릇이 준비되어 있지 않다면, 자산은 결국 다시 원래의 수준으로 돌아가게 된다는 것이다. 이는 단순한 재테크 기술보다 돈을 바라보는 인식과 판단력이 훨씬 중요하다는 사실을 보여 준다.
재테크의 성패는 얼마나 많이 저축하느냐보다 가치와 가격의 차이를 구분하고, 잘못된 선택에서 얼마나 빠르게 벗어날 수 있는가에 달려 있다. 예를 들어, 직장과 가까운 곳 대신 더 저렴한 외곽 지역의 집을 선택하는 것은 당장 돈을 절약하는 것처럼 보일 수 있다. 그러나 매일 출퇴근에 소비되는 시간과 에너지, 그리고 그 시간을 자기 계발이나 새로운 기회에 투자했을 때 얻을 수 있는 가능성까지 함께 고려한다면, 그것은 또 다른 형태의 손실이 될 수도 있다. 저자는 이처럼 우리가 일상에서 반복하는 경제적 판단 착오를 확률과 게임 이론, 행동경제학의 관점에서 풀어내며 독자 스스로 자신의 ‘인생 장부’를 다시 점검하도록 이끈다.
열심히 벌고 아끼는데도 왜 돈이 모이지 않는지 궁금했다면, 이 책은 그 이유를 새로운 시각으로 보여 줄 것이다. 경제학과 금융의 기본 원리를 통해 세상이 움직이는 방식을 이해하고, 그 흐름 속에서 자산을 지키고 키워 나갈 수 있는 현실적인 사고의 기준을 얻게 될 것이다.</t>
        </is>
      </c>
      <c r="E13" t="inlineStr">
        <is>
          <t>셰종보</t>
        </is>
      </c>
      <c r="F13" t="inlineStr">
        <is>
          <t>더페이지</t>
        </is>
      </c>
      <c r="G13" t="inlineStr">
        <is>
          <t>2026-07-20</t>
        </is>
      </c>
      <c r="H13" t="n">
        <v>18800</v>
      </c>
      <c r="I13" t="n">
        <v>16920</v>
      </c>
      <c r="J13" t="n">
        <v>10</v>
      </c>
      <c r="K13" t="n">
        <v>0</v>
      </c>
      <c r="L13" t="n">
        <v>3</v>
      </c>
      <c r="M13" t="n">
        <v>10</v>
      </c>
      <c r="N13" t="inlineStr">
        <is>
          <t>자기계발</t>
        </is>
      </c>
      <c r="O13" t="inlineStr">
        <is>
          <t>https://contents.kyobobook.co.kr/sih/fit-in/200x0/pdt/9791194156437.jpg</t>
        </is>
      </c>
    </row>
    <row r="14">
      <c r="A14" t="inlineStr">
        <is>
          <t>S000220119415</t>
        </is>
      </c>
      <c r="B14" t="n">
        <v>13</v>
      </c>
      <c r="C14" t="inlineStr">
        <is>
          <t>나의 첫 번째 부동산 교과서</t>
        </is>
      </c>
      <c r="D14" t="inlineStr">
        <is>
          <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t>
        </is>
      </c>
      <c r="E14" t="inlineStr">
        <is>
          <t>송희구</t>
        </is>
      </c>
      <c r="F14" t="inlineStr">
        <is>
          <t>서삼독</t>
        </is>
      </c>
      <c r="G14" t="inlineStr">
        <is>
          <t>2026-06-23</t>
        </is>
      </c>
      <c r="H14" t="n">
        <v>23000</v>
      </c>
      <c r="I14" t="n">
        <v>20700</v>
      </c>
      <c r="J14" t="n">
        <v>10</v>
      </c>
      <c r="K14" t="n">
        <v>0</v>
      </c>
      <c r="L14" t="n">
        <v>139</v>
      </c>
      <c r="M14" t="n">
        <v>9.869999999999999</v>
      </c>
      <c r="N14" t="inlineStr">
        <is>
          <t>경제/경영</t>
        </is>
      </c>
      <c r="O14" t="inlineStr">
        <is>
          <t>https://contents.kyobobook.co.kr/sih/fit-in/200x0/pdt/9791193904435.jpg</t>
        </is>
      </c>
    </row>
    <row r="15">
      <c r="A15" t="inlineStr">
        <is>
          <t>S000217115740</t>
        </is>
      </c>
      <c r="B15" t="n">
        <v>14</v>
      </c>
      <c r="C15" t="inlineStr">
        <is>
          <t>다크 심리학(20만 부 한정판 스페셜 에디션)</t>
        </is>
      </c>
      <c r="D15" t="inlineStr">
        <is>
          <t>‘다크 심리학’은 인간 본성의 어두운 면을 탐구하여 타인의 감정을 조종하거나 조작하는 기술을 융합한 것이다. 그런데 최근 들어 수많은 사람이 다크 심리학에 깊은 관심을 보인다. 과연 왜 그럴까? 바로 힘과 지혜, 권력과 지식을 통해 자신의 현재 삶을 바꾸고 싶은 인간의 심리가 기저에 깔려 있기 때문이다.
국내 최초 다크 심리학을 기반한 심리 기술을 담아낸 《다크 심리학》은 인간의 본성, 그 ‘어두운 프로그래밍’을 실전 기술로 해부한 책이다. 이 책에 담긴 ‘다크 심리 기술’은 우리가 실생활에서 타인을 설득(조종)하고, 갈등을 해결(조작)할 수 있는 탁월한 방법들을 정리한 것이다. 이를 통해 누구나 다양한 관계에서 만연한 심리적 조작에서 벗어날 수 있으며, 반대로 나에게 유리하게 이끄는 기술을 배울 수 있다.
사실 ‘다크 심리 기술’은 새로운 지식이 아니다. 인류의 오랜 역사 속에서 계속 반복되어 온 권력 획득과 유지의 법칙을 현대적으로 재해석한 것이다. 그런데 ‘이 기술’을 이미 다른 사람들에게 강력한 무기로 쓰는 사람들이 있다. 그러나 대다수의 사람은 아무것도 모른 채 그냥 조종당하고 있을 뿐이다. 세상의 모든 것은 설계되어 있다. 그런데 당신은 아무 설계도 없이 살아온 것이다.
이 책은 이미 조종당하고 있는 이들을 위한 ‘생존 설명서’와 같다. 이 책을 통해 ‘어둠의 구조’와 전략을 알게 된다면, 더는 ‘당하는 희생자’가 아니다. 더 나아가 필요하다면 ‘어둠의 기술’들을 창의적으로 재구성할 수도 있다. 지금, 당신이 살아남기 위해 가장 먼저 읽어야 할 책. 《다크 심리학》을 꼭 만나기를 바란다.</t>
        </is>
      </c>
      <c r="E15" t="inlineStr">
        <is>
          <t>다크 사이드 프로젝트</t>
        </is>
      </c>
      <c r="F15" t="inlineStr">
        <is>
          <t>어센딩</t>
        </is>
      </c>
      <c r="G15" t="inlineStr">
        <is>
          <t>2026-05-22</t>
        </is>
      </c>
      <c r="H15" t="n">
        <v>21900</v>
      </c>
      <c r="I15" t="n">
        <v>19710</v>
      </c>
      <c r="J15" t="n">
        <v>10</v>
      </c>
      <c r="K15" t="n">
        <v>0</v>
      </c>
      <c r="L15" t="n">
        <v>913</v>
      </c>
      <c r="M15" t="n">
        <v>9.26</v>
      </c>
      <c r="N15" t="inlineStr">
        <is>
          <t>인문</t>
        </is>
      </c>
      <c r="O15" t="inlineStr">
        <is>
          <t>https://contents.kyobobook.co.kr/sih/fit-in/200x0/pdt/9791198754080.jpg</t>
        </is>
      </c>
    </row>
    <row r="16">
      <c r="A16" t="inlineStr">
        <is>
          <t>S000220563310</t>
        </is>
      </c>
      <c r="B16" t="n">
        <v>15</v>
      </c>
      <c r="C16" t="inlineStr">
        <is>
          <t>이런 말 자주 하면 부자 될 징조입니다</t>
        </is>
      </c>
      <c r="D16" t="inlineStr">
        <is>
          <t>웅진그룹 윤석금 회장이 신간 『이런 말 자주 하면 부자 될 징조입니다』를 펴냈다. 몇 해 전 펴낸 『말의 힘』이 뜻밖에 20~30대 독자들에게 좋은 반응을 얻은 것이 이 책의 출발점이 되었다. 그가 만나는 요즘 젊은 세대가 던지는 질문은 하나였다. “어떻게 하면 돈을 많이 벌 수 있을까요?” 저자는 그 현실적인 욕망을 피하지 않고 정면으로 마주한다. 다만, 무일푼에서 시작해 대기업을 일군 그가 믿는 진실은 이것이다. 돈은 뒤쫓는 게 아니라 따라오게 만들어야 한다는 것. 당장 통장에 돈이 들어오는 이야기를 원하는 독자에게, 윤석금 회장은 자신의 인생을 관통해온 ‘돈을 끌어당기는 근본적인 방법’을 알려주기 위해 다시 펜을 들었다. 
정말 부자가 되는 사람은 무엇이 다를까. 웅진그룹 윤석금 회장은 그 답을 ‘긍정의 말’에서 찾는다. “나는 운이 좋다”, “나는 할 수 있다”, “실패해도 다시 시작하면 된다”라고 말하는 사람 곁에는 행운이 모이고, “왜 나만 이럴까”라고 말하는 사람은 스스로 앞길을 가린다.
이 책은 학자의 연구도, 어딘가에서 인용해 온 이론도 아니다. 저자가 직접 밝히듯 “50여 년 동안 내가 부딪치면서 성공하고 때로 실패했던 순간들에서 살아남은 말들”이다. 스물일곱 살에 백과사전 세일즈를 시작해 전 세계에서 브리태니커를 가장 많이 판 판매왕이 된 이야기, 100만 원짜리 정수기를 월 2만 7천 원에 빌려주는 역발상으로 ‘렌털(구독)’이라는 거대한 시장을 열어젖힌 이야기, 부도 직전의 회사를 시가총액 7조 원 기업으로 키운 이야기까지, 그 모든 성취의 밑바탕에 ‘긍정의 말’이 있었다.</t>
        </is>
      </c>
      <c r="E16" t="inlineStr">
        <is>
          <t>윤석금</t>
        </is>
      </c>
      <c r="F16" t="inlineStr">
        <is>
          <t>리더스북</t>
        </is>
      </c>
      <c r="G16" t="inlineStr">
        <is>
          <t>2026-07-20</t>
        </is>
      </c>
      <c r="H16" t="n">
        <v>18500</v>
      </c>
      <c r="I16" t="n">
        <v>16650</v>
      </c>
      <c r="J16" t="n">
        <v>10</v>
      </c>
      <c r="K16" t="n">
        <v>0</v>
      </c>
      <c r="L16" t="n">
        <v>8</v>
      </c>
      <c r="M16" t="n">
        <v>10</v>
      </c>
      <c r="N16" t="inlineStr">
        <is>
          <t>자기계발</t>
        </is>
      </c>
      <c r="O16" t="inlineStr">
        <is>
          <t>https://contents.kyobobook.co.kr/sih/fit-in/200x0/pdt/9788901300191.jpg</t>
        </is>
      </c>
    </row>
    <row r="17">
      <c r="A17" t="inlineStr">
        <is>
          <t>S000211748790</t>
        </is>
      </c>
      <c r="B17" t="n">
        <v>16</v>
      </c>
      <c r="C17" t="inlineStr">
        <is>
          <t>수족관</t>
        </is>
      </c>
      <c r="D17" t="inlineStr">
        <is>
          <t>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t>
        </is>
      </c>
      <c r="E17" t="inlineStr">
        <is>
          <t>유래혁</t>
        </is>
      </c>
      <c r="F17" t="inlineStr">
        <is>
          <t>포스터샵</t>
        </is>
      </c>
      <c r="G17" t="inlineStr">
        <is>
          <t>2024-01-11</t>
        </is>
      </c>
      <c r="H17" t="n">
        <v>17700</v>
      </c>
      <c r="I17" t="n">
        <v>15930</v>
      </c>
      <c r="J17" t="n">
        <v>10</v>
      </c>
      <c r="K17" t="n">
        <v>0</v>
      </c>
      <c r="L17" t="n">
        <v>108</v>
      </c>
      <c r="M17" t="n">
        <v>9.41</v>
      </c>
      <c r="N17" t="inlineStr">
        <is>
          <t>소설</t>
        </is>
      </c>
      <c r="O17" t="inlineStr">
        <is>
          <t>https://contents.kyobobook.co.kr/sih/fit-in/200x0/pdt/9791198547514.jpg</t>
        </is>
      </c>
    </row>
    <row r="18">
      <c r="A18" t="inlineStr">
        <is>
          <t>S000220279880</t>
        </is>
      </c>
      <c r="B18" t="n">
        <v>17</v>
      </c>
      <c r="C18" t="inlineStr">
        <is>
          <t>사람 보는 눈이 없는 당신에게</t>
        </is>
      </c>
      <c r="D18" t="inlineStr">
        <is>
          <t>“누구와 함께할 것인가”
애착 · 성격 · 투사 · 행동 신호로
관계가 어려워지는 심리를 짚고, 
더 이상 상처받지 않기 위한 ‘나와 맞는 사람’ 찾는 법
100만 팔로워와 누적 조회 수 1억 회를 돌파한
심리 콘텐츠 크리에이터 ‘과즙너구리’의 기대작!
사람을 대하는 일은 언제나 어렵지만, 특히 ‘좋은 사람’인 줄 알았던 이에게 전혀 예상치 못한 상처를 입었을 때의 충격은 단순히 감정의 문제를 넘어 삶을 뿌리째 흔들곤 한다. 우리는 흔히 이런 일을 겪을 때 자신의 운을 탓하거나 사람 보는 눈이 없음을 자책하곤 한다. 하지만 인간관계에서 반복되는 실패는 당신의 인격이나 운의 문제가 아니다. 인간의 심리적 기제를 파악하는 ‘안목’이라는 기술을 배우지 못한 결과에 가깝다. 이러한 관계의 악순환을 끊어내려면 막연한 조언이 아니라 상대를 선명하게 들여다볼 수 있는 고해상도의 렌즈가 필요하다. 그리고 바로 그 렌즈를 제공하는 이가 중국 최고의 지식 공유 플랫폼에서 수백만 독자의 인간관계를 상담해 온 실전 심리전문가 궈즈리다.
그녀가 수천 시간의 상담과 방대한 데이터 속에서 길어 올린 결론은 분명하다. 우리가 누군가를 오해하고 상처받는 이유는, 겉모습 뒤에 숨겨진 그 사람의 심리적 설계도를 읽지 못했기 때문이다. 이 책은 이 복잡한 인간관계의 메커니즘을 애착 이론과 성격 분석, 그리고 투사 심리학을 결합한 5단계 사람 읽는 공식으로 알려준다. 애착 유형을 통해 관계의 출발점에서 이미 나타나는 차이를 읽고, 성격 구조를 통해 반복되는 행동의 방향을 파악하며, 투사라는 개념을 통해 상대가 드러내는 감정이 무엇을 의미하는지 해석한다. 여기에 더해 눈동자나 몸짓 같은 비언어적 신호를 통해 말로 설명되지 않는 부분까지 읽어낼 수 있도록 돕는다. 상대를 읽고 이해하는 안목이 생기면 자연스레 곁에 둘 사람과 거리를 두어야 할 사람을 가려내는 선별의 기준이 서고, 이는 곧 타인의 기분에 휩쓸리지 않고 자신의 일상을 온전히 지켜내는 힘으로 이어진다. 
이 책은 50건 이상의 실제 사례와 10가지 이상의 자기 평가 도구를 담아, 모호한 이론이 아닌 삶에 바로 적용할 수 있는 구체적인 방법을 제시한다. 사람의 마음을 이해하는 일은 생각보다 어렵지 않다. 중요한 것은, 그 마음에 다가가는 올바른 방법을 아는 것이다. 사람에게 상처받지 않는 길은 그 사람의 실체를 정확히 읽어내고, 내가 감당할 수 있는 만큼의 경계를 분명히 세우는 안목을 갖추는 데 있다. 이 책은 그 단순하지만 단단한 원칙을 전한다. 이제 자책을 멈추고 이 정교한 심리 공식을 손에 쥔다면, 관계 갈등으로 더 이상 상처받는 사람이 아니라 관계의 흐름을 읽는 관찰자로서 흔들림 없이 삶을 지켜낼 수 있을 것이다.</t>
        </is>
      </c>
      <c r="E18" t="inlineStr">
        <is>
          <t>궈즈리</t>
        </is>
      </c>
      <c r="F18" t="inlineStr">
        <is>
          <t>지니의서재</t>
        </is>
      </c>
      <c r="G18" t="inlineStr">
        <is>
          <t>2026-07-10</t>
        </is>
      </c>
      <c r="H18" t="n">
        <v>18800</v>
      </c>
      <c r="I18" t="n">
        <v>16920</v>
      </c>
      <c r="J18" t="n">
        <v>10</v>
      </c>
      <c r="K18" t="n">
        <v>0</v>
      </c>
      <c r="L18" t="n">
        <v>6</v>
      </c>
      <c r="M18" t="n">
        <v>10</v>
      </c>
      <c r="N18" t="inlineStr">
        <is>
          <t>자기계발</t>
        </is>
      </c>
      <c r="O18" t="inlineStr">
        <is>
          <t>https://contents.kyobobook.co.kr/sih/fit-in/200x0/pdt/9791194620365.jpg</t>
        </is>
      </c>
    </row>
    <row r="19">
      <c r="A19" t="inlineStr">
        <is>
          <t>S000220573912</t>
        </is>
      </c>
      <c r="B19" t="n">
        <v>18</v>
      </c>
      <c r="C19" t="inlineStr">
        <is>
          <t>황천의 츠가이: 봉 11(특별판)</t>
        </is>
      </c>
      <c r="D19" t="inlineStr"/>
      <c r="E19" t="inlineStr">
        <is>
          <t>Hiromu Arakawa</t>
        </is>
      </c>
      <c r="F19" t="inlineStr">
        <is>
          <t>대원씨아이</t>
        </is>
      </c>
      <c r="G19" t="inlineStr">
        <is>
          <t>2026-07-31</t>
        </is>
      </c>
      <c r="H19" t="n">
        <v>28500</v>
      </c>
      <c r="I19" t="n">
        <v>25650</v>
      </c>
      <c r="J19" t="n">
        <v>10</v>
      </c>
      <c r="K19" t="n">
        <v>0</v>
      </c>
      <c r="L19" t="n">
        <v>0</v>
      </c>
      <c r="M19" t="n">
        <v>0</v>
      </c>
      <c r="N19" t="inlineStr">
        <is>
          <t>만화</t>
        </is>
      </c>
      <c r="O19" t="inlineStr">
        <is>
          <t>https://contents.kyobobook.co.kr/sih/fit-in/200x0/pdt/9791142358784.jpg</t>
        </is>
      </c>
    </row>
    <row r="20">
      <c r="A20" t="inlineStr">
        <is>
          <t>S000220273403</t>
        </is>
      </c>
      <c r="B20" t="n">
        <v>19</v>
      </c>
      <c r="C20" t="inlineStr">
        <is>
          <t>공부가 즐겁다는 공자의 말을 믿어도 될까</t>
        </is>
      </c>
      <c r="D20" t="inlineStr">
        <is>
          <t>공부와 인간관계 등으로 인해 급속도로 고민이 많아지는 청소년기. 하지만 자아 성장에 있어 그 어느 때보다 중요한 이 시기에 사회는 빠르게 변화하고 있고 친구도, 부모도, 선생님도 청소년의 고민에 시원하게 대답해 주지 않는다. 그럴 때 『논어』야 말로 최고의 동반자가 되어 줄 수 있다. ‘내가 어떤 성격의 사람인지, 다른 사람들은 어떤 생각을 하며 사는지, 이 세상은 어떻게 돌아가는지’ 잘 이해할 수 있게 하는 책이기 때문이다. 
『논어』는 ‘말을 편집했다’는 뜻을 지니고 있다. 공자와 그 제자들의 대화와 삶을 대하는 자세, 태도를 편집하고 기록한 책이기 때문이다. 그런데 왜 21세기를 살아가는 우리가 2천5백 년 전 이들의 대화를 주목해야 할까? 이 질문에 답하기 위해, 베스트셀러 작가인 판덩은 청소년의 눈높이에 맞춰서 공자의 삶과 지혜를 흥미롭게 풀어낸 책 『공부가 즐겁다는 공자의 말을 믿어도 될까』를 집필했다.
『논어』는 2천5백 년 전에 쓰였지만, 현재도 우리 삶에 많은 가르침을 주고 있다. 특히 『논어』에는 학습에 대한 심오하고도 진지한 고민이 엿보인다. 늘 무언가를 고민하고, 하루를 복기하며, 더 나은 내일을 위해 배우려는 공자의 자세는 AI와 양자 혁명 등 빠르게 변화하는 시대를 살아가는 현대인이 반드시 갖춰야 할 태도이다. 그런데 이는 단순히 인생 공부에만 국한되는 것이 아니다. 하루하루 학습에 매진해야 하는 청소년에게도 해당하는 태도이다. ‘공부’는 단순하고 얄팍하게 참고서나 문제집만 풀이하고 이해하는 것이 아니라, 진짜 우리의 삶과 연결성을 지녀야 한다. 실생활에 적용할 수 있는 학문이야말로 ‘살아 있는’ 학문인 것이다. 
따라서 이 책 『공부가 즐겁다는 공자의 말을 믿어도 될까』의 핵심 내용은 ‘배움’이다. 하지만 여기서 배움은 단순히 책을 읽고 읊는 배움이 아니라 공부나 친구 관계, 인격이나 일상 모든 것에 대한 배움이다. 이것이야말로 공자가 강조했던 ‘일이관지(一以貫之)’, 즉 한 가지 이치로 모든 일을 꿰뚫어 본다는 진리를 구현하게 하는 것이다. 따라서 이 책은 친구 관계로 일상생활을, 일상생활로 사람의 성격을, 개인의 성격과 인격으로 삶을 통찰하게 돕는다. 흔들리는 청소년 시기에 무엇을 기준으로 세상을 살아가고 어떤 의미를 찾아 행복한 삶을 만들어 가야 할지, 그 길을 제시한다.</t>
        </is>
      </c>
      <c r="E20" t="inlineStr">
        <is>
          <t>판덩</t>
        </is>
      </c>
      <c r="F20" t="inlineStr">
        <is>
          <t>이든서재</t>
        </is>
      </c>
      <c r="G20" t="inlineStr">
        <is>
          <t>2026-07-10</t>
        </is>
      </c>
      <c r="H20" t="n">
        <v>18500</v>
      </c>
      <c r="I20" t="n">
        <v>16650</v>
      </c>
      <c r="J20" t="n">
        <v>10</v>
      </c>
      <c r="K20" t="n">
        <v>0</v>
      </c>
      <c r="L20" t="n">
        <v>6</v>
      </c>
      <c r="M20" t="n">
        <v>10</v>
      </c>
      <c r="N20" t="inlineStr">
        <is>
          <t>청소년</t>
        </is>
      </c>
      <c r="O20" t="inlineStr">
        <is>
          <t>https://contents.kyobobook.co.kr/sih/fit-in/200x0/pdt/9791194812258.jpg</t>
        </is>
      </c>
    </row>
    <row r="21">
      <c r="A21" t="inlineStr">
        <is>
          <t>S000220340903</t>
        </is>
      </c>
      <c r="B21" t="n">
        <v>20</v>
      </c>
      <c r="C21" t="inlineStr">
        <is>
          <t>코스모스(100만부 기념판)</t>
        </is>
      </c>
      <c r="D21" t="inlineStr">
        <is>
          <t>칼 세이건(Carl Sagan)의 「코스모스(Cosmos)」가 2026년 4월 말일 기준으로 누적 판매 부수 100만 부를 돌파했다. 2004년 고(故) 홍승수 서울대 천문학과 교수의 번역으로 양장본의 완전판이 출간된 지 22년 만에, 그리고 2006년 칼 세이건 서거 10주기를 기념해 특별판이 출간된 지 20년 만에 금자탑을 세운 것이다. 720쪽이 넘는 방대한 분량의 벽돌책이 밀리언셀러를 기록한 것은 대한민국 출판 역사상 아주 드문 사건이다. 
「코스모스」 100만 부 돌파는 여러 판본의 판매를 합산한 것이다. 이 부수는 먼저 1980년에 출간된 원서의 도판을 빠짐없이 오롯이 실은, 2004년 12월 20일에 출간된 「사이언스 클래식」 4권 양장본 완전판 11만 5000부, 그다음 2006년 12월 20일에 「칼 세이건 서거 10기 특별판」으로 출간된 반양장본 보급판 87만 6000부, 그리고 전자책 3만 8000부와 진중문고판 1만 3000부 등으로 이루어져 있다. 반양장본에서 고급 양장본까지, 전자책에서 군납 도서까지 다양한 판본과 다양한 가격대로 출간된 이 책이 밀리언셀러의 고지를 밟았다는 것은 우리 사회의 과학 교양, 또는 소양이 특정 계층, 특정 연령대에 한정되어 있지 않고 종합적으로 성숙했음을 보여 주는 기념비적인 지표라고 볼 수 있다. 
특히 일론 머스크 등 칼 세이건의 책과 다큐멘터리를 보고 자란 ‘코스모스 세대’가 새로운 우주 개척의 시대에 나서고 있는 지금, 「코스모스」는 다시금 주목을 받고 있다. 2020년 앤 드루얀이 「코스모스」의 정식 후속작이라고 할 「코스모스: 가능한 세계들(Cosmos: Possible Worlds)」을 출간하고, 동명의 다큐멘터리가 내셔널 지오그래픽 채널과 디즈니플러스 OTT 서비스로 전 세계 172개국에서 방영되어 칼 세이건의 「코스모스」의 정신이 죽지 않았음을 입증했다. (이 책의 한국어판은 누적 5만 3000부 판매되었다.) 
또한 유튜브를 비롯한 뉴미디어 플랫폼에서도 수많은 과학 교양 채널과 도서 소개 프로그램에서 가치가 재조명되고 있다. 스타 과학자들과 인플루언서 북튜버 들에 의해 “인간으로서의 존엄과 지적 교양을 갖추기 위해 반드시 통과해야 할 관문”, 혹은 “교양인이라면 죽기 전에 꼭 넘어야 할 산”, 혹은 “우주 앞에서 인간이 얼마나 겸손하면서도 존엄한 존재인지 깨닫게 하는 책” 등의 말로 적극 추천받고 있고, AI 시대 도래 이후 넘치는 AI 생성 텍스트에 지친 20, 30대 독자들에 의해 폭발적으로 재발견되고 있다. 그 결과인지 2025년 동기 대비 판매 부수가 25퍼센트 이상 증가하고 있다.
㈜사이언스북스에서는 이번 「코스모스」 누적 판매 부수 100만 부 돌파를 기념해 표지를 교체한 리커버판 「코스모스: 100만 부 기념판」을 출간한다. 기존에 출간되던 반양장본의 표지를 1980년 칼 세이건의 다큐멘터리가 방영되던 당시 미국에서 출간되었던 랜덤하우스 출간 초판본의 표지로 교체한 것인데, 앞표지의 그림은 「코스모스」의 책과 다큐멘터리 곳곳을 장식하고 있는 천문 우주 일러스트레이션의 대가 아돌프 샬러(Adolf Schaller, 1956∼2024년)의 작품이고, 뒤표지의 사진은 다큐멘터리 출연 당시 칼 세이건의 사진이다. 본문 내용은 기존의 반양장본 특별판과 다름이 없지만, 이 원서 초판본 표지를 기억하는 눈 밝은 독자나, 아돌프 샬러가 그린 그림이 1980년 당시 인류가 상상할 수 있었던 가장 먼 천체 중 하나인 구상 성단의 퀘이사를 그린 것임을 알아채는 과학 소양 풍부한 독자라면 이 「코스모스: 100만 부 기념판」의 소장 가치와 추천 가치를 알아볼 것이다.
이 책은 2026년 6월 24일부터 개최되는 2026 서울 국제 도서전에서 서점보다 먼저 최초 공개, 판매된다. 올해 창립 60주년을 맞이한 민음사 출판 그룹의 부스에 마련된 ㈜사이언스북스 코너에서 이 책을 가장 먼저 만나 볼 수 있으며, ㈜사이언스북스 코너를 찾아 주는 독자들을 위해 매일 선착순 100명을 대상으로 이 기념판의 표지를 활용한 엘홀더를 증정한다. 공식적인 서점 판매는 주요 서점별 굿즈 이벤트와 함께 이번 달 말일부터 이루어질 예정이다.
그리고 올해는 칼 세이건의 서거 30주기이기도 하다. 이에 ㈜사이언스북스에서는 다채로운 출판 기획을 준비 중에 있다. 자세한 정보는 추후 공개할 예정이다.</t>
        </is>
      </c>
      <c r="E21" t="inlineStr">
        <is>
          <t>칼 세이건</t>
        </is>
      </c>
      <c r="F21" t="inlineStr">
        <is>
          <t>사이언스북스</t>
        </is>
      </c>
      <c r="G21" t="inlineStr">
        <is>
          <t>2026-06-30</t>
        </is>
      </c>
      <c r="H21" t="n">
        <v>22000</v>
      </c>
      <c r="I21" t="n">
        <v>19800</v>
      </c>
      <c r="J21" t="n">
        <v>10</v>
      </c>
      <c r="K21" t="n">
        <v>0</v>
      </c>
      <c r="L21" t="n">
        <v>31</v>
      </c>
      <c r="M21" t="n">
        <v>10</v>
      </c>
      <c r="N21" t="inlineStr">
        <is>
          <t>과학</t>
        </is>
      </c>
      <c r="O21" t="inlineStr">
        <is>
          <t>https://contents.kyobobook.co.kr/sih/fit-in/200x0/pdt/9791124336083.jpg</t>
        </is>
      </c>
    </row>
    <row r="22">
      <c r="A22" t="inlineStr">
        <is>
          <t>S000219813471</t>
        </is>
      </c>
      <c r="B22" t="n">
        <v>21</v>
      </c>
      <c r="C22" t="inlineStr">
        <is>
          <t>완자 고등 물질과 에너지(2026)</t>
        </is>
      </c>
      <c r="D22" t="inlineStr">
        <is>
          <t>- 2022개정 교육과정의 4종 교과서를 완벽 분석하여 물질과 에너지의 핵심 개념을 쉽고 체계적으로 정리하였습니다. 
- 혼자서도 교과 개념을 익히고 내신 시험을 준비할 수 있는 ‘완벽한 자율 학습서’입니다.
- 고난도 문제로 내신 1등급에 도전할 수 있습니다.</t>
        </is>
      </c>
      <c r="E22" t="inlineStr">
        <is>
          <t>이성학 외</t>
        </is>
      </c>
      <c r="F22" t="inlineStr">
        <is>
          <t>비상교육</t>
        </is>
      </c>
      <c r="G22" t="inlineStr">
        <is>
          <t>2026-05-01</t>
        </is>
      </c>
      <c r="H22" t="n">
        <v>20000</v>
      </c>
      <c r="I22" t="n">
        <v>18000</v>
      </c>
      <c r="J22" t="n">
        <v>10</v>
      </c>
      <c r="K22" t="n">
        <v>0</v>
      </c>
      <c r="L22" t="n">
        <v>32</v>
      </c>
      <c r="M22" t="n">
        <v>9.6</v>
      </c>
      <c r="N22" t="inlineStr">
        <is>
          <t>중/고등참고서</t>
        </is>
      </c>
      <c r="O22" t="inlineStr">
        <is>
          <t>https://contents.kyobobook.co.kr/sih/fit-in/200x0/pdt/9791173167980.jpg</t>
        </is>
      </c>
    </row>
    <row r="23">
      <c r="A23" t="inlineStr">
        <is>
          <t>S000218781780</t>
        </is>
      </c>
      <c r="B23" t="n">
        <v>22</v>
      </c>
      <c r="C23" t="inlineStr">
        <is>
          <t>2026 큰별쌤 최태성의 별별한국사 기출 500제 한국사능력검정시험 심화(1,2,3급)</t>
        </is>
      </c>
      <c r="D23" t="inlineStr">
        <is>
          <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t>
        </is>
      </c>
      <c r="E23" t="inlineStr">
        <is>
          <t>최태성</t>
        </is>
      </c>
      <c r="F23" t="inlineStr">
        <is>
          <t>이투스북</t>
        </is>
      </c>
      <c r="G23" t="inlineStr">
        <is>
          <t>2025-12-16</t>
        </is>
      </c>
      <c r="H23" t="n">
        <v>22000</v>
      </c>
      <c r="I23" t="n">
        <v>19800</v>
      </c>
      <c r="J23" t="n">
        <v>10</v>
      </c>
      <c r="K23" t="n">
        <v>0</v>
      </c>
      <c r="L23" t="n">
        <v>249</v>
      </c>
      <c r="M23" t="n">
        <v>9.949999999999999</v>
      </c>
      <c r="N23" t="inlineStr">
        <is>
          <t>인문</t>
        </is>
      </c>
      <c r="O23" t="inlineStr">
        <is>
          <t>https://contents.kyobobook.co.kr/sih/fit-in/200x0/pdt/9791138934459.jpg</t>
        </is>
      </c>
    </row>
    <row r="24">
      <c r="A24" t="inlineStr">
        <is>
          <t>S000216796615</t>
        </is>
      </c>
      <c r="B24" t="n">
        <v>23</v>
      </c>
      <c r="C24" t="inlineStr">
        <is>
          <t>안녕이라 그랬어(집에디션 리커버)</t>
        </is>
      </c>
      <c r="D24" t="inlineStr">
        <is>
          <t>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 “많은 희곡 속 사건은 ‘초대’와 ‘방문’, ‘침입’과 ‘도주’로 시작됐다”(「홈 파티」, 42쪽)라는 소설 속 표현처럼, 이번 책에서는 인물들이 누군가의 공간을 방문하면서 이야기가 펼쳐진다. 그곳은 집주인의 미감과 여유를 짐작하게 하는 우아하고 안정적인 공간이거나(「홈 파티」), 값싼 물가와 저렴한 체류 비용 덕분에 한 달 여행이라는 “생애 처음으로 누리는 사치”를 가능하게 하는 해외의 단독주택이다(「숲속 작은 집」). 또는 정성스레 가꾸고 사용해왔지만 이제는 새 집주인을 위해 이사 준비를 해야 하는 전셋집이거나(「좋은 이웃」), 회사를 관두고 그간 모은 돈을 전부 털어 문을 연 책방이기도 하다(「레몬케이크」). 『안녕이라 그랬어』에서 공간이 중요한 이유는 그곳이 단순히 이야기의 배경으로 기능하는 게 아니라 인물들의 삶 그 자체와 같기 때문이다. 특히 우리 사회에서 ‘방 한 칸’이 가지는 의미를 남다른 통찰력으로 묘사해온 바 있는 김애란에게 어떤 공간은 누군가의 경제적, 사회적 지표를 가늠하게 하는 장소이자 한 사람의 내력이 고스란히 담긴 총체적이고 복합적인 장소이다. 때문에 이번 소설집에서 공간을 둘러싸고 벌어지는 갈등은 서로의 삶의 기준이 맞부딪치는 일이라고 할 수 있다. 다른 사람의 공간으로 들어가는 것은, 달리 말하면 나로 살아온 삶의 테두리를 벗어나는 사건인 것이다. 
김애란은 「홈 파티」에서 다음과 같이 질문한다. “한 사람이 다른 사람의 자리에 서보는 건 얼마나 어려운 일인가?”(24쪽) 타인의 공간을 방문하는 일은 다른 사람을 이해하는 확장의 길이 될까, 아니면 서로의 기준을 꺾어 누르는 침입의 길이 될까. 어느 때보다 ‘나’라는 테두리를 벗어나 ‘우리’로 나아가기 어려운 현실 속에서, 눈앞의 풍경과 나와 관계 맺는 사람이 돈으로 치환 가능한 숫자가 되어가는 현실 속에서 김애란의 질문은 더욱 절실하게 다가온다. 그리고 그 질문은 이렇게 바꿔 물을 수 있다. 공통의 포기와 낙담을 경험하고 다시금 새로운 출발선이 펼쳐졌을 때, 과연 그전과 무엇이 달라졌고 무엇이 지켜졌느냐고. 또는 무엇이 달라지고 무엇이 지켜져야만 하느냐고. 그것은 바로 누군가에게 안녕과 평안을 묻는 일이 더없이 간절해진 지금 우리에게 필요한 김애란식의 인사일 것이다.</t>
        </is>
      </c>
      <c r="E24" t="inlineStr">
        <is>
          <t>김애란</t>
        </is>
      </c>
      <c r="F24" t="inlineStr">
        <is>
          <t>문학동네</t>
        </is>
      </c>
      <c r="G24" t="inlineStr">
        <is>
          <t>2025-06-20</t>
        </is>
      </c>
      <c r="H24" t="n">
        <v>16800</v>
      </c>
      <c r="I24" t="n">
        <v>15120</v>
      </c>
      <c r="J24" t="n">
        <v>10</v>
      </c>
      <c r="K24" t="n">
        <v>0</v>
      </c>
      <c r="L24" t="n">
        <v>1064</v>
      </c>
      <c r="M24" t="n">
        <v>9.699999999999999</v>
      </c>
      <c r="N24" t="inlineStr">
        <is>
          <t>소설</t>
        </is>
      </c>
      <c r="O24" t="inlineStr">
        <is>
          <t>https://contents.kyobobook.co.kr/sih/fit-in/200x0/pdt/9791141602376.jpg</t>
        </is>
      </c>
    </row>
    <row r="25">
      <c r="A25" t="inlineStr">
        <is>
          <t>S000218278239</t>
        </is>
      </c>
      <c r="B25" t="n">
        <v>24</v>
      </c>
      <c r="C25" t="inlineStr">
        <is>
          <t>니체의 초월자</t>
        </is>
      </c>
      <c r="D25" t="inlineStr">
        <is>
          <t>〈니체의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 당신은 당신 자신이 되었는가? 다양한 인간관계를 맺고 살아가지만 결국 끝까지 함께해야 할 사람은 나 자신이다. 세상이 아무리 흔들려도 내가 중심이 잡혀 있으면 흔들리지 않는다. 세상이 아무리 외롭고 고독해져도 내가 내 안에서 충만하다면 흔들리지 않는다. 세상의 기준이 흔들리고 복잡할수록 세워야 하는 것은 나만의 기준이다.
이 책은 철학을 해석하지 않는다. 대신, 지금의 세상을 견디며 나답게 살아가기 위한 니체식 사고법을 보여준다. 니체의 수많은 저서 중 현대인에게 도움이 될만한 이야기를 엄선하여 77편을 편역하였다. 남이 정한 정답이 아닌 스스로의 기준으로 살아가는 인간, 그것이 이 시대의 초월자다. 넘어져도 다시 일어나라. 타인이 세워놓은 가치를 따르지 말고 내 안의 별을 따르라. 나에게 준 운명을 부정하지 마라. 삶은 사랑할 수 없는 것까지 사랑하는 것이다.</t>
        </is>
      </c>
      <c r="E25" t="inlineStr">
        <is>
          <t>프리드리히 니체</t>
        </is>
      </c>
      <c r="F25" t="inlineStr">
        <is>
          <t>히읏</t>
        </is>
      </c>
      <c r="G25" t="inlineStr">
        <is>
          <t>2025-10-28</t>
        </is>
      </c>
      <c r="H25" t="n">
        <v>16900</v>
      </c>
      <c r="I25" t="n">
        <v>15210</v>
      </c>
      <c r="J25" t="n">
        <v>10</v>
      </c>
      <c r="K25" t="n">
        <v>0</v>
      </c>
      <c r="L25" t="n">
        <v>271</v>
      </c>
      <c r="M25" t="n">
        <v>9.800000000000001</v>
      </c>
      <c r="N25" t="inlineStr">
        <is>
          <t>인문</t>
        </is>
      </c>
      <c r="O25" t="inlineStr">
        <is>
          <t>https://contents.kyobobook.co.kr/sih/fit-in/200x0/pdt/9791192559100.jpg</t>
        </is>
      </c>
    </row>
    <row r="26">
      <c r="A26" t="inlineStr">
        <is>
          <t>S000220351981</t>
        </is>
      </c>
      <c r="B26" t="n">
        <v>25</v>
      </c>
      <c r="C26" t="inlineStr">
        <is>
          <t>말문이 막힐 때 꺼내 쓰는 대화의 기술</t>
        </is>
      </c>
      <c r="D26" t="inlineStr">
        <is>
          <t>결국 통하는 말은 따로 있다
수많은 기업이 먼저 찾는 커뮤니케이션 전문가,
그녀가 밝혀낸 관계를 움직이는 대화의 원칙
말을 잘하는 사람은 어떻게 사람들의 마음을 사로잡을까? 그 비결은 단순히 유창함이나 논리적인 설명 능력에 있는 걸까? 이 책의 저자는 오랜 현장 경험을 통해 뛰어난 소통의 핵심은 화려한 화술이 아니라 상대를 이해하고 공감하는 태도에 있다고 말한다.
저자는 교육심리학을 바탕으로 기업 커뮤니케이션 교육과 조직 컨설팅을 수행해 온 전문 트레이너다. 바이두, 레노버를 비롯한 300개 이상의 기업에서 1만 명이 넘는 직장인을 대상으로 소통 교육을 진행했으며, 실제 업무 현장에서 검증된 다양한 커뮤니케이션 기법을 체계적으로 정리해 왔다. 특히 바이두의 고객 응대 및 영업 조직 교육에 참여하며 구축한 소통 훈련 체계는 높은 평가를 받았고, 이후 여러 기업으로 확산되어 적용되었다.
이 책에는 상대와 빠르게 신뢰를 쌓는 방법, 성향에 따라 다르게 접근하는 대화 전략, 오해를 줄이면서 정확하게 전달하는 표현법, 감정을 조절하며 소통하는 방법 등 실생활에 바로 활용할 수 있는 다양한 노하우가 담겨 있다. 또한 실제 사례와 상황별 예시를 통해 누구나 쉽게 이해할 수 있도록 구성했으며, 단원마다 스스로 연습해 볼 수 있는 실전 훈련법도 수록했다.
통하는 말은 단순히 관계를 부드럽게 만드는 데 그치지 않는다. 때로는 새로운 기회를 만들고, 예상치 못한 인연을 연결하며, 인생의 방향까지 바꾸기도 한다. 인간관계가 어렵게 느껴지는 사람, 직장과 일상에서 소통의 벽을 자주 경험하는 사람이라면 이 책을 통해 대화의 본질을 새롭게 발견하게 될 것이다.</t>
        </is>
      </c>
      <c r="E26" t="inlineStr">
        <is>
          <t>장신웨</t>
        </is>
      </c>
      <c r="F26" t="inlineStr">
        <is>
          <t>알토북스</t>
        </is>
      </c>
      <c r="G26" t="inlineStr">
        <is>
          <t>2026-07-20</t>
        </is>
      </c>
      <c r="H26" t="n">
        <v>17800</v>
      </c>
      <c r="I26" t="n">
        <v>16020</v>
      </c>
      <c r="J26" t="n">
        <v>10</v>
      </c>
      <c r="K26" t="n">
        <v>0</v>
      </c>
      <c r="L26" t="n">
        <v>1</v>
      </c>
      <c r="M26" t="n">
        <v>10</v>
      </c>
      <c r="N26" t="inlineStr">
        <is>
          <t>자기계발</t>
        </is>
      </c>
      <c r="O26" t="inlineStr">
        <is>
          <t>https://contents.kyobobook.co.kr/sih/fit-in/200x0/pdt/9791194655381.jpg</t>
        </is>
      </c>
    </row>
    <row r="27">
      <c r="A27" t="inlineStr">
        <is>
          <t>S000220119843</t>
        </is>
      </c>
      <c r="B27" t="n">
        <v>26</v>
      </c>
      <c r="C27" t="inlineStr">
        <is>
          <t>부의 갈림길</t>
        </is>
      </c>
      <c r="D27" t="inlineStr">
        <is>
          <t>★★★ 60만 독자가 열광한 『부의 대이동』, 『환율의 대전환』 작가의 최신작
★★★ tvN 〈유퀴즈〉, KBS 〈세계는 지금〉, 유튜브 〈지식인사이드〉 화제의 인물
지정학적 분쟁, K자 경제, 신임 연준 의장 케빈 워시, AI 혁명, 달러 패권의 향방 등 세계 경제의 판도를 뒤흔들 다섯 가지 거대 갈림길이 온다. 기존의 공식이 통하지 않고. 갈수록 높아지는 변동성으로 길이 보이지 않을 때 거시경제 전문가 오건영이 제시하는 부의 이정표를 살펴보자. 포트폴리오를 재편하고, 부가 지나는 길목을 선점할 수 있을 것이다.</t>
        </is>
      </c>
      <c r="E27" t="inlineStr">
        <is>
          <t>오건영</t>
        </is>
      </c>
      <c r="F27" t="inlineStr">
        <is>
          <t>포레스트북스</t>
        </is>
      </c>
      <c r="G27" t="inlineStr">
        <is>
          <t>2026-06-10</t>
        </is>
      </c>
      <c r="H27" t="n">
        <v>27000</v>
      </c>
      <c r="I27" t="n">
        <v>24300</v>
      </c>
      <c r="J27" t="n">
        <v>10</v>
      </c>
      <c r="K27" t="n">
        <v>0</v>
      </c>
      <c r="L27" t="n">
        <v>120</v>
      </c>
      <c r="M27" t="n">
        <v>9.83</v>
      </c>
      <c r="N27" t="inlineStr">
        <is>
          <t>경제/경영</t>
        </is>
      </c>
      <c r="O27" t="inlineStr">
        <is>
          <t>https://contents.kyobobook.co.kr/sih/fit-in/200x0/pdt/9791124591048.jpg</t>
        </is>
      </c>
    </row>
    <row r="28">
      <c r="A28" t="inlineStr">
        <is>
          <t>S000219732915</t>
        </is>
      </c>
      <c r="B28" t="n">
        <v>27</v>
      </c>
      <c r="C28" t="inlineStr">
        <is>
          <t>품격 있는 대화를 위한 지식 브리핑</t>
        </is>
      </c>
      <c r="D28" t="inlineStr">
        <is>
          <t>매일 아침 100만 명의 뉴스를 책임지는 앵커 김진의 첫 책. 16년간 취재 기자이자 간판 뉴스 앵커로 활동해온 저자는 역설적으로 "뉴스는 세상의 진짜 지식을 말해주지 않는다"고 단언한다. 120만 구독자를 보유한 유튜브 채널 〈꽉TV〉와 시사 프로그램 〈김진의 돌직구쇼〉를 통해 복잡한 현안을 명쾌하게 풀어온 그가, 이번에는 뉴스 이면에 숨겨진 세상의 설계도를 한 권의 책에 담아냈다. 이 책은 정치, 경제, 사회, 문화, 국제 등 5개 분야를 관통하는 핵심 주제를 다룬다. ‘죄수의 딜레마’부터 ‘깨진 유리창 이론’, ‘투키디데스의 함정’, ‘민스키 모멘트’에 이르기까지 방대한 인문·사회과학적 개념을 실제 뉴스 사건에 정교하게 대입했다. 
파편화된 정보와 알고리즘의 홍수 속에서 현상의 본질을 꿰뚫기 위해서는 구조를 읽어내는 눈이 필수적이다. 저자가 정리한 50가지 지적 프레임은 복잡한 세상 속에서 흔들리지 않는 '나만의 사고 기준'을 세워주는 단단한 기초가 되어줄 것이다. 어느 페이지를 먼저 읽어도 좋다. 흩어져 있던 뉴스들이 하나의 맥락으로 연결되는 순간, 세상을 보는 지도는 선명해진다. 품격 있는 대화는 유려한 말기술이 아니라 사안을 바라보는 '이해의 깊이'에서 완성된다. 이 책은 당신의 대화에 깊이를, 사고에 무게를 더해줄 것이다.</t>
        </is>
      </c>
      <c r="E28" t="inlineStr">
        <is>
          <t>김진</t>
        </is>
      </c>
      <c r="F28" t="inlineStr">
        <is>
          <t>북플레저</t>
        </is>
      </c>
      <c r="G28" t="inlineStr">
        <is>
          <t>2026-05-06</t>
        </is>
      </c>
      <c r="H28" t="n">
        <v>25000</v>
      </c>
      <c r="I28" t="n">
        <v>22500</v>
      </c>
      <c r="J28" t="n">
        <v>10</v>
      </c>
      <c r="K28" t="n">
        <v>0</v>
      </c>
      <c r="L28" t="n">
        <v>236</v>
      </c>
      <c r="M28" t="n">
        <v>9.67</v>
      </c>
      <c r="N28" t="inlineStr">
        <is>
          <t>인문</t>
        </is>
      </c>
      <c r="O28" t="inlineStr">
        <is>
          <t>https://contents.kyobobook.co.kr/sih/fit-in/200x0/pdt/9791124038413.jpg</t>
        </is>
      </c>
    </row>
    <row r="29">
      <c r="A29" t="inlineStr">
        <is>
          <t>S000219545519</t>
        </is>
      </c>
      <c r="B29" t="n">
        <v>28</v>
      </c>
      <c r="C29" t="inlineStr">
        <is>
          <t>다크 심리학 2</t>
        </is>
      </c>
      <c r="D29" t="inlineStr">
        <is>
          <t>“세상은 선(善)하다고 해서 절대 지켜주지 않는다.”
한층 더 심화한 《다크 심리학 2》를 통해
권력 뒤에 숨겨진 세상의 진실을 깨달아라!
우리가 흔히 말하는 ‘권력’은 대통령과 정치인, 대기업 회장처럼 높은 지위에 있는 사람이나 검찰, 경찰, 군대처럼 강력한 권한을 가진 집단이다. 또 권력을 떠올리면 ‘아부, 청탁, 뒷돈’ 같은 부정적 이미지를 연상하면서 ‘나와 상관없는 일’이라 여긴다. 어쩌면 당연하다. 권력을 논할 여유조차 없이 치열한 생존경쟁이 우리의 일상이기 때문이다. 그런데 제아무리 노력해도 원하는 결과가 보장되지 않는다.
‘도대체 왜, 무엇이 문제일까?’ 《다크 심리학 2》는 이 질문에서 비롯된다. ‘권력’은 엘리트층이나 특정 집단에만 있는 것이 아니다. 학교, 직장, 가정 등 우리가 속한 모든 관계를 통해 사회 전체를 관통하는 ‘네트워크’ 역시 권력이다. 문제는, 이 네트워크 시스템이 다크 트라이어드(Dark Triad)에게 유리하도록 설계되어 있다는 것이다. 그러므로 권력에 대한 이해는 현대 사회에 꼭 필요한 생존법이다.
지금 우리의 삶이 힘들고, 원하는 결과가 멀게 느껴지는 건 결코 우연이 아니다. 왜냐, 세상의 모든 것은 설계된 시스템과 같으며, 그 시스템에는 ‘강자의 의도’가 담겨 있기 때문이다. 권력은 우리에게 직접 명령하지 않는다. 우리 스스로가 통제하는 시스템을 만든다. 그런데 진짜 무서운 건 시스템이 아니다. 바로 ‘조종당하는’ 사실조차 모르는 자기 자신이다.
전편 《다크 심리학》이 관계 속 ‘심리 조종’을 다뤘다면, 《다크 심리학 2》는 심리학과 철학, 역사, 문화 등에 기반해 ‘인간 본성과 권력’, 그리고 ‘권력 구조(시스템) 내 다크 트라이어드’의 심리 전략을 심도 있게 다룬다. 각 챕터에 구성한 〈권력의 설계와 작동 원리〉, 〈다크 심리학과 권력 시스템〉, 〈악의 구조와 범죄 심리〉 등으로 ‘힘의 메커니즘’을 깨닫고, 다크 트라이어드 성향자의 다양한 사례를 통해 그들의 심리적 조작과 물리적 피해에서 벗어날 수 있다.
“강자는 본능으로 움직이고, 약자는 학습으로 버틴다.
그러나 ‘깨달은 약자’는 더 이상 먹잇감이 아니다.
당신은 어느 쪽인가? 선택은 당신의 몫이다.”</t>
        </is>
      </c>
      <c r="E29" t="inlineStr">
        <is>
          <t>다크 사이드 프로젝트</t>
        </is>
      </c>
      <c r="F29" t="inlineStr">
        <is>
          <t>어센딩</t>
        </is>
      </c>
      <c r="G29" t="inlineStr">
        <is>
          <t>2026-04-24</t>
        </is>
      </c>
      <c r="H29" t="n">
        <v>24200</v>
      </c>
      <c r="I29" t="n">
        <v>21780</v>
      </c>
      <c r="J29" t="n">
        <v>10</v>
      </c>
      <c r="K29" t="n">
        <v>0</v>
      </c>
      <c r="L29" t="n">
        <v>250</v>
      </c>
      <c r="M29" t="n">
        <v>9.890000000000001</v>
      </c>
      <c r="N29" t="inlineStr">
        <is>
          <t>인문</t>
        </is>
      </c>
      <c r="O29" t="inlineStr">
        <is>
          <t>https://contents.kyobobook.co.kr/sih/fit-in/200x0/pdt/9791198754097.jpg</t>
        </is>
      </c>
    </row>
    <row r="30">
      <c r="A30" t="inlineStr">
        <is>
          <t>S000000479333</t>
        </is>
      </c>
      <c r="B30" t="n">
        <v>29</v>
      </c>
      <c r="C30" t="inlineStr">
        <is>
          <t>프로젝트 헤일메리</t>
        </is>
      </c>
      <c r="D30" t="inlineStr">
        <is>
          <t>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따낸 지 5년 만에 막바지 작업만을 남겨두고 있다. 예고편 공개만으로 7억 회가 넘는 조회 수가 입증하듯, 영화 애호가뿐만 아니라 이 책의 영상화를 간절히 바라온 독자들도 한껏 기대감을 안고 개봉일을 기다리고 있다.
앤디 위어는 데뷔작 《마션》과 후속작 《아르테미스》 그리고 이 책까지 단 세 권을 발표해 잇달아 성공을 거두며 뉴욕 타임스와 아마존 베스트셀러에 이름을 올린 명실상부 최고의 SF 작가이다. 글을 쓸 때 과학적 사실을 조사하고 검증하는 것으로 정평이 난 작가의 작품인 만큼, 흠잡을 데 없는 과학적 지식이 작가의 장기인 낙관적 감수성과 어우러져 유감없이 그려졌다. 특히 작가가 치밀하게 구상한 ‘특별한 캐릭터’의 등장은 단연 소설의 백미다.
지구를 구하기 위해 우주로 떠난 한 사람 그리고 그 여정에서 만나는 ‘절대 잊히지 않는 존재’. 이 소설은 과학소설의 외피를 쓴 채 공생과 연대, 종을 넘어서는 우정에 관해 “콸콸 솟는 이야기 샘물”을 퍼 나른다. 인류를 살리기 위해 자신의 귀환을 포기한 ‘좋은 사람’의 선택은 어떤 결말을 맞을 것인가. 한층 깊어지고 넓어진 앤디 위어의 세계 속에 그 답이 있다. 이 이야기는 분명, 책으로도 영화로도 오래 기억될 것이다.</t>
        </is>
      </c>
      <c r="E30" t="inlineStr">
        <is>
          <t>앤디 위어</t>
        </is>
      </c>
      <c r="F30" t="inlineStr">
        <is>
          <t>알에이치코리아</t>
        </is>
      </c>
      <c r="G30" t="inlineStr">
        <is>
          <t>2026-02-19</t>
        </is>
      </c>
      <c r="H30" t="n">
        <v>22000</v>
      </c>
      <c r="I30" t="n">
        <v>19800</v>
      </c>
      <c r="J30" t="n">
        <v>10</v>
      </c>
      <c r="K30" t="n">
        <v>0</v>
      </c>
      <c r="L30" t="n">
        <v>1537</v>
      </c>
      <c r="M30" t="n">
        <v>9.880000000000001</v>
      </c>
      <c r="N30" t="inlineStr">
        <is>
          <t>소설</t>
        </is>
      </c>
      <c r="O30" t="inlineStr">
        <is>
          <t>https://contents.kyobobook.co.kr/sih/fit-in/200x0/pdt/9788925588735.jpg</t>
        </is>
      </c>
    </row>
    <row r="31">
      <c r="A31" t="inlineStr">
        <is>
          <t>S000218674965</t>
        </is>
      </c>
      <c r="B31" t="n">
        <v>30</v>
      </c>
      <c r="C31" t="inlineStr">
        <is>
          <t>2026 큰별쌤 최태성의 별별한국사 한국사능력검정시험 심화(1,2,3급)(상)</t>
        </is>
      </c>
      <c r="D31" t="inlineStr">
        <is>
          <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
〈2026 큰별쌤 최태성의 별별한국사 한국사능력검정시험 심화(1·2·3급) 상〉의 앞표지는 1억원 기부를 통해 사랑의 열매 '아너 소사이어티'에 가입되도록 함께 지원해 주신 최태성 1, 2TV 별님들로 구성되었습니다."</t>
        </is>
      </c>
      <c r="E31" t="inlineStr">
        <is>
          <t>최태성</t>
        </is>
      </c>
      <c r="F31" t="inlineStr">
        <is>
          <t>이투스북</t>
        </is>
      </c>
      <c r="G31" t="inlineStr">
        <is>
          <t>2025-12-09</t>
        </is>
      </c>
      <c r="H31" t="n">
        <v>19000</v>
      </c>
      <c r="I31" t="n">
        <v>17100</v>
      </c>
      <c r="J31" t="n">
        <v>10</v>
      </c>
      <c r="K31" t="n">
        <v>0</v>
      </c>
      <c r="L31" t="n">
        <v>394</v>
      </c>
      <c r="M31" t="n">
        <v>9.9</v>
      </c>
      <c r="N31" t="inlineStr">
        <is>
          <t>인문</t>
        </is>
      </c>
      <c r="O31" t="inlineStr">
        <is>
          <t>https://contents.kyobobook.co.kr/sih/fit-in/200x0/pdt/9791138934428.jpg</t>
        </is>
      </c>
    </row>
    <row r="32">
      <c r="A32" t="inlineStr">
        <is>
          <t>S000000597589</t>
        </is>
      </c>
      <c r="B32" t="n">
        <v>31</v>
      </c>
      <c r="C32" t="inlineStr">
        <is>
          <t>생각에 관한 생각</t>
        </is>
      </c>
      <c r="D32" t="inlineStr">
        <is>
          <t>새로운 인간학의 지평을 연 현대의 고전, 행동경제학과 인지심리학의 바이블 『생각에 관한 생각』. 21세기 들어 분야를 막론한 여러 학문에서는 인간의 한계와 불완전성에 대한 언급과 주장이 강세를 보였다. 자신의 능력을 과대평가하고 주변 환경과 운을 과소평가하는 인간의 특성을 신랄하게 지적하고, 약점을 보완할 수 있는 사고방식과 행동을 소개하는 책들이 소개되고 있다. 그리고 이 모든 주장과 저서의 기본 원칙은 바로 이 책에서 설명하는 카너먼의 풍부한 연구 결과들에 기초하고 있다. 
“애덤 스미스가 고전경제학의 아버지라면, 대니얼 카너먼은 현대경제학의 대부이다!”라는 언론의 극찬을 받은 독보적 지성인, 현존하는 거장의 역작이지만 그를 접하는 데 있어 너무 겁만 먹지는 말자. 쉽지는 않을지 몰라도 접근이 불가할 정도로 어렵고 복잡하기만 한 책은 아니다. 이 책을 읽는 독자들은 소소한 곱셈 문제에서부터 그림 문제, 도형 문제, 그리고 어려운 살인 사건에 관련된 복잡한 문제와 대도시 택시 뺑소니 사건 등 수많은 퀴즈를 맞닥뜨리게 될 것이다. 가능하면 하나씩 시간을 들여 풀어보고 생각해보라. 재미있고 흥미로운 이 퀴즈들은 모두 위대한 사회과학 이론의 토대가 되는 연구의 시발점이다.
석학의 연구 결과에 도전한다는 부담감은 내려놓고 찬찬히 읽어보라. 생경했던 ‘시스템 1’과 ‘시스템 2’라는 용어와 개념이 친숙하게 다가올 것이고, 한 몸에서 따로 놀던 두 개의 자아 중 자신이 어느 쪽을 편애했는지 깨닫게 될 것이다. 그리하여 개선하고자 하는 열망을 갖게 되고, 더욱 더 바람직한 자아 형성에 힘쓰게 될 것이다. 《생각에 관한 생각》은 결국 인간 행복을 증진시키기 위한 생각이며, 우리의 인생을 더욱 풍요롭게 하기 위한 생각이다.</t>
        </is>
      </c>
      <c r="E32" t="inlineStr">
        <is>
          <t>대니얼 카너먼</t>
        </is>
      </c>
      <c r="F32" t="inlineStr">
        <is>
          <t>김영사</t>
        </is>
      </c>
      <c r="G32" t="inlineStr">
        <is>
          <t>2018-03-30</t>
        </is>
      </c>
      <c r="H32" t="n">
        <v>29800</v>
      </c>
      <c r="I32" t="n">
        <v>26820</v>
      </c>
      <c r="J32" t="n">
        <v>10</v>
      </c>
      <c r="K32" t="n">
        <v>0</v>
      </c>
      <c r="L32" t="n">
        <v>682</v>
      </c>
      <c r="M32" t="n">
        <v>9.619999999999999</v>
      </c>
      <c r="N32" t="inlineStr">
        <is>
          <t>경제/경영</t>
        </is>
      </c>
      <c r="O32" t="inlineStr">
        <is>
          <t>https://contents.kyobobook.co.kr/sih/fit-in/200x0/pdt/9788934981213.jpg</t>
        </is>
      </c>
    </row>
    <row r="33">
      <c r="A33" t="inlineStr">
        <is>
          <t>S000219976174</t>
        </is>
      </c>
      <c r="B33" t="n">
        <v>32</v>
      </c>
      <c r="C33" t="inlineStr">
        <is>
          <t>EBS 수능완성 영어영역 영어(2026)(2027 수능대비)</t>
        </is>
      </c>
      <c r="D33"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33" t="inlineStr">
        <is>
          <t>EBS교육방송 편집부</t>
        </is>
      </c>
      <c r="F33" t="inlineStr">
        <is>
          <t>한국교육방송공사(EBSi)</t>
        </is>
      </c>
      <c r="G33" t="inlineStr">
        <is>
          <t>2026-05-22</t>
        </is>
      </c>
      <c r="H33" t="n">
        <v>15600</v>
      </c>
      <c r="I33" t="n">
        <v>14040</v>
      </c>
      <c r="J33" t="n">
        <v>10</v>
      </c>
      <c r="K33" t="n">
        <v>0</v>
      </c>
      <c r="L33" t="n">
        <v>131</v>
      </c>
      <c r="M33" t="n">
        <v>9.9</v>
      </c>
      <c r="N33" t="inlineStr">
        <is>
          <t>중/고등참고서</t>
        </is>
      </c>
      <c r="O33" t="inlineStr">
        <is>
          <t>https://contents.kyobobook.co.kr/sih/fit-in/200x0/pdt/9791143600523.jpg</t>
        </is>
      </c>
    </row>
    <row r="34">
      <c r="A34" t="inlineStr">
        <is>
          <t>S000001016020</t>
        </is>
      </c>
      <c r="B34" t="n">
        <v>33</v>
      </c>
      <c r="C34" t="inlineStr">
        <is>
          <t>유럽 도시 기행 1</t>
        </is>
      </c>
      <c r="D34" t="inlineStr">
        <is>
          <t>도시가 품고 있는 이야기를 들으면서 새로운 것을 배우는 유시민. 5년이라는 시간 동안 아내 한경혜와 함께 수첩과 카메라를 들고 유럽의 도시를 탐사한 그가 도시의 건축물과 거리, 광장, 박물관과 예술품이 들려주는 이야기에 귀 기울일 수 있도록 역사와 문화, 그리고 그에 얽힌 지식과 정보를 자신만의 목소리로 담아낸 『유럽 도시 기행』 제1권 《아테네, 로마, 이스탄불, 파리 편》.
문명의 빅뱅이 일어난 아테네, 그렇게 탄생한 문명이라는 소우주가 가속 팽창을 이룬 로마, 무려 삼천 년에 가까운 오랜 기간 동안 국제도시였던 이스탄불, 보잘것없는 변방에서 문명의 최전선이 된 도시 파리까지, 한때는 혹은 지금, 유럽의 역사와 문명 그리고 문화의 심장 역할을 하고 있는 이 네 도시는 유럽문명의 DNA를 품고 있는 도시라고 할 수 있다. 
저자는 자신의 방식대로 여행하면서 각각의 도시에서 벌어진 일련의 사건(history)과 그 도시에 뚜렷한 흔적을 남긴 사람의 생애(story)를 탐색했다. 한때 유럽 문명을 탄생시킨 저마다의 숨은 이야기와 혹은 우리가 너무나 잘 알거나 또는 새롭게 알게 되는 주인공들을 색다른 모습으로 하나씩 만날 수 있다.</t>
        </is>
      </c>
      <c r="E34" t="inlineStr">
        <is>
          <t>유시민</t>
        </is>
      </c>
      <c r="F34" t="inlineStr">
        <is>
          <t>생각의길</t>
        </is>
      </c>
      <c r="G34" t="inlineStr">
        <is>
          <t>2019-07-09</t>
        </is>
      </c>
      <c r="H34" t="n">
        <v>16500</v>
      </c>
      <c r="I34" t="n">
        <v>14850</v>
      </c>
      <c r="J34" t="n">
        <v>10</v>
      </c>
      <c r="K34" t="n">
        <v>0</v>
      </c>
      <c r="L34" t="n">
        <v>725</v>
      </c>
      <c r="M34" t="n">
        <v>9.289999999999999</v>
      </c>
      <c r="N34" t="inlineStr">
        <is>
          <t>인문</t>
        </is>
      </c>
      <c r="O34" t="inlineStr">
        <is>
          <t>https://contents.kyobobook.co.kr/sih/fit-in/200x0/pdt/9788965135586.jpg</t>
        </is>
      </c>
    </row>
    <row r="35">
      <c r="A35" t="inlineStr">
        <is>
          <t>S000001632467</t>
        </is>
      </c>
      <c r="B35" t="n">
        <v>34</v>
      </c>
      <c r="C35" t="inlineStr">
        <is>
          <t>모순</t>
        </is>
      </c>
      <c r="D35" t="inlineStr">
        <is>
          <t>양귀자 소설의 힘을 보여준 베스트셀러 『모순』. 1998년에 초판이 출간된 이후 132쇄를 찍으며 여전히 많은 사랑을 받고 있는 작품을, 오래도록 소장할 수 있는 양장본으로 새롭게 선보인다. 스물다섯 살 미혼여성 안진진을 통해 모순으로 가득한 우리의 인생을 들여다본다. 작가 특유의 섬세한 문장들로 여러 인물들의 삶을 생생하게 그려내고 있다.
시장에서 내복을 팔고 있는 억척스런 어머니와 행방불명 상태로 떠돌다 가끔씩 귀가하는 아버지, 조폭의 보스가 인생의 꿈인 남동생을 가족으로 둔 안진진. 어머니와 일란성 쌍둥이인 이모는 부유하지만 지루한 삶에 지쳐 있고, 가난한 어머니는 처리해야 할 불행들이 많아 지루할 틈이 없다. 안진진은 사뭇 다른 어머니와 이모의 삶을 바라보며 모순투성이인 삶을 어떻게 이해해야 하는지 고민하기 시작하는데….</t>
        </is>
      </c>
      <c r="E35" t="inlineStr">
        <is>
          <t>양귀자</t>
        </is>
      </c>
      <c r="F35" t="inlineStr">
        <is>
          <t>쓰다</t>
        </is>
      </c>
      <c r="G35" t="inlineStr">
        <is>
          <t>2013-04-01</t>
        </is>
      </c>
      <c r="H35" t="n">
        <v>13000</v>
      </c>
      <c r="I35" t="n">
        <v>11700</v>
      </c>
      <c r="J35" t="n">
        <v>10</v>
      </c>
      <c r="K35" t="n">
        <v>0</v>
      </c>
      <c r="L35" t="n">
        <v>3833</v>
      </c>
      <c r="M35" t="n">
        <v>9.789999999999999</v>
      </c>
      <c r="N35" t="inlineStr">
        <is>
          <t>소설</t>
        </is>
      </c>
      <c r="O35" t="inlineStr">
        <is>
          <t>https://contents.kyobobook.co.kr/sih/fit-in/200x0/pdt/9788998441012.jpg</t>
        </is>
      </c>
    </row>
    <row r="36">
      <c r="A36" t="inlineStr">
        <is>
          <t>S000220573907</t>
        </is>
      </c>
      <c r="B36" t="n">
        <v>35</v>
      </c>
      <c r="C36" t="inlineStr">
        <is>
          <t>황천의 츠가이 11</t>
        </is>
      </c>
      <c r="D36" t="inlineStr"/>
      <c r="E36" t="inlineStr">
        <is>
          <t>Hiromu Arakawa</t>
        </is>
      </c>
      <c r="F36" t="inlineStr">
        <is>
          <t>대원씨아이</t>
        </is>
      </c>
      <c r="G36" t="inlineStr">
        <is>
          <t>2026-07-31</t>
        </is>
      </c>
      <c r="H36" t="n">
        <v>6500</v>
      </c>
      <c r="I36" t="n">
        <v>5850</v>
      </c>
      <c r="J36" t="n">
        <v>10</v>
      </c>
      <c r="K36" t="n">
        <v>0</v>
      </c>
      <c r="L36" t="n">
        <v>0</v>
      </c>
      <c r="M36" t="n">
        <v>0</v>
      </c>
      <c r="N36" t="inlineStr">
        <is>
          <t>만화</t>
        </is>
      </c>
      <c r="O36" t="inlineStr">
        <is>
          <t>https://contents.kyobobook.co.kr/sih/fit-in/200x0/pdt/9791142358777.jpg</t>
        </is>
      </c>
    </row>
    <row r="37">
      <c r="A37" t="inlineStr">
        <is>
          <t>S000218791163</t>
        </is>
      </c>
      <c r="B37" t="n">
        <v>36</v>
      </c>
      <c r="C37" t="inlineStr">
        <is>
          <t>ETS 토익 정기시험 기출문제집 1000 Vol 5 RC</t>
        </is>
      </c>
      <c r="D37" t="inlineStr">
        <is>
          <t>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 또한 동영상 강의, 기출어휘 단어장, 기출테스트 채점/분석 등을 지원하는 토익 필수템 'ETS 토익기출 수험서 앱'으로 보다 스마트하게 학습해 보자!</t>
        </is>
      </c>
      <c r="E37" t="inlineStr">
        <is>
          <t>ETS</t>
        </is>
      </c>
      <c r="F37" t="inlineStr">
        <is>
          <t>YBM</t>
        </is>
      </c>
      <c r="G37" t="inlineStr">
        <is>
          <t>2025-12-15</t>
        </is>
      </c>
      <c r="H37" t="n">
        <v>22000</v>
      </c>
      <c r="I37" t="n">
        <v>19800</v>
      </c>
      <c r="J37" t="n">
        <v>10</v>
      </c>
      <c r="K37" t="n">
        <v>0</v>
      </c>
      <c r="L37" t="n">
        <v>275</v>
      </c>
      <c r="M37" t="n">
        <v>9.859999999999999</v>
      </c>
      <c r="N37" t="inlineStr">
        <is>
          <t>외국어</t>
        </is>
      </c>
      <c r="O37" t="inlineStr">
        <is>
          <t>https://contents.kyobobook.co.kr/sih/fit-in/200x0/pdt/9788917243802.jpg</t>
        </is>
      </c>
    </row>
    <row r="38">
      <c r="A38" t="inlineStr">
        <is>
          <t>S000061351196</t>
        </is>
      </c>
      <c r="B38" t="n">
        <v>37</v>
      </c>
      <c r="C38" t="inlineStr">
        <is>
          <t>유럽 도시 기행 2</t>
        </is>
      </c>
      <c r="D38" t="inlineStr">
        <is>
          <t>"이 책은 힘들게 마음먹은 유럽 도시를 알차고 풍성하게 여행하거나 미디어를 통해 어렴풋이 알고 있는 유럽의 도시를 제대로 알고 싶을 때, 누군가 콕콕 찍어서 알려 줬으면 하는 내용이 빼곡히 들어있다. 도시의 매력을 느낄 수 있는 핫플레이스부터, 각 도시의 건축물, 길과 광장, 박물관과 예술품 등 그 무엇을 만나도 당황하지 않을 탄탄한 배경 지식, 도시의 존재감을 만들어낸 세계사적 사건과 인물들, 유럽의 역사와 도시의 역사가 씨줄과 날줄처럼 교차하며 생긴 도시의 서사와 상흔들까지, 우리가 도시를 더 풍성하게 만끽할 수 있는 흥미진진한 이야기를 펼친다. 여기에 도시와 인간, 그리고 삶을 바라보는 작가의 지적 통찰력이 더해져 도시가 품은 가치와 맥락, 의미 있는 서사들이 우리의 현재와 어떻게 교감하는지를 보여준다."
사람이 만든 것에는 이야기가 있다. 인간이 만든 가장 크고 아름답고 오래된 것은 아마 도시일 것이다. 도시는 역사적 사건과 인물들이 만든 생생하고, 드라마틱한 낯선 이야기가 깃들어 있다. 특히 유럽의 도시는 박물관이나 왕궁에서뿐 아니라 광장, 건물, 카페, 골목 등과 같은 일상의 공간들도 흥미로운 히스토리를 품고 있는 곳이 많다. 작가는 이러한 유럽의 도시 공간이 전하는 이야기들을 들을 수 있게, 도시의 표면 아래 숨겨진 이야기를 찾고 도시가 품고 있는 인물들의 삶을 돌아보며 오늘의 도시가 탄생하기까지 영광과 상처, 야만과 관용, 성과 속, 단절과 연결, 좌절과 성취, 삶과 죽음 등을 그만의 시선으로 마주한다. 
작가가 전하는 도시 공간과 그 속에 담긴 이야기는 인간이 앞으로 나아온 성취의 과정과 그 과정에서 표출한 아름다움과 추함, 이기심과 이타심, 절망과 희망 같은 인간의 다양한 얼굴을 보여주며 현재를 비춘다. 이것은 우리 자신을 더 입체적으로 느끼게 하고 평소와는 다른 낯선 생각과 감정을 불러일으키며 자신과 마주하게 한다. 아마도 이것이 멀지만 낯선 거리를 걷고 또 걸으며 유럽의 도시를 여행하는 이유가 아닐까.</t>
        </is>
      </c>
      <c r="E38" t="inlineStr">
        <is>
          <t>유시민</t>
        </is>
      </c>
      <c r="F38" t="inlineStr">
        <is>
          <t>생각의길</t>
        </is>
      </c>
      <c r="G38" t="inlineStr">
        <is>
          <t>2022-07-09</t>
        </is>
      </c>
      <c r="H38" t="n">
        <v>17500</v>
      </c>
      <c r="I38" t="n">
        <v>15750</v>
      </c>
      <c r="J38" t="n">
        <v>10</v>
      </c>
      <c r="K38" t="n">
        <v>0</v>
      </c>
      <c r="L38" t="n">
        <v>243</v>
      </c>
      <c r="M38" t="n">
        <v>9.720000000000001</v>
      </c>
      <c r="N38" t="inlineStr">
        <is>
          <t>인문</t>
        </is>
      </c>
      <c r="O38" t="inlineStr">
        <is>
          <t>https://contents.kyobobook.co.kr/sih/fit-in/200x0/pdt/9788965137702.jpg</t>
        </is>
      </c>
    </row>
    <row r="39">
      <c r="A39" t="inlineStr">
        <is>
          <t>S000220567031</t>
        </is>
      </c>
      <c r="B39" t="n">
        <v>38</v>
      </c>
      <c r="C39" t="inlineStr">
        <is>
          <t>에스콰이어(ESQUIRE)(2026년 8월호)</t>
        </is>
      </c>
      <c r="D39" t="inlineStr">
        <is>
          <t>『에스콰이어(ESQUIRE)』는 취향있는 남자들을 위한 지적인 바이블 매거진이다.</t>
        </is>
      </c>
      <c r="E39" t="inlineStr">
        <is>
          <t>허스트중앙 편집부</t>
        </is>
      </c>
      <c r="F39" t="inlineStr">
        <is>
          <t>허스트중앙</t>
        </is>
      </c>
      <c r="G39" t="inlineStr">
        <is>
          <t>2026-07-23</t>
        </is>
      </c>
      <c r="H39" t="n">
        <v>8000</v>
      </c>
      <c r="I39" t="n">
        <v>7600</v>
      </c>
      <c r="J39" t="n">
        <v>5</v>
      </c>
      <c r="K39" t="n">
        <v>0</v>
      </c>
      <c r="L39" t="n">
        <v>0</v>
      </c>
      <c r="M39" t="n">
        <v>0</v>
      </c>
      <c r="N39" t="inlineStr">
        <is>
          <t>잡지</t>
        </is>
      </c>
      <c r="O39" t="inlineStr">
        <is>
          <t>https://contents.kyobobook.co.kr/sih/fit-in/200x0/pdt/3904000621647.jpg</t>
        </is>
      </c>
    </row>
    <row r="40">
      <c r="A40" t="inlineStr">
        <is>
          <t>S000214700980</t>
        </is>
      </c>
      <c r="B40" t="n">
        <v>39</v>
      </c>
      <c r="C40" t="inlineStr">
        <is>
          <t>완자 고등 통합과학 2(2026)</t>
        </is>
      </c>
      <c r="D40" t="inlineStr">
        <is>
          <t>[교재 소개]
1. 혼자서도 교과 개념을 익히고 내신 시험을 준비할 수 있는 ‘완벽한 자율 학습서’ 입니다.
2. 고등 통합과학의 핵심 개념을 쉽고 체계적으로 정리한 교재입니다.
3. 2022개정 교육과정에 해당하는 전국의 기출문제를 분석하여 기출 경향에 맞게 개선한 교재입니다.</t>
        </is>
      </c>
      <c r="E40" t="inlineStr">
        <is>
          <t>김은경 외</t>
        </is>
      </c>
      <c r="F40" t="inlineStr">
        <is>
          <t>비상</t>
        </is>
      </c>
      <c r="G40" t="inlineStr">
        <is>
          <t>2024-11-01</t>
        </is>
      </c>
      <c r="H40" t="n">
        <v>18500</v>
      </c>
      <c r="I40" t="n">
        <v>16650</v>
      </c>
      <c r="J40" t="n">
        <v>10</v>
      </c>
      <c r="K40" t="n">
        <v>0</v>
      </c>
      <c r="L40" t="n">
        <v>500</v>
      </c>
      <c r="M40" t="n">
        <v>9.800000000000001</v>
      </c>
      <c r="N40" t="inlineStr">
        <is>
          <t>중/고등참고서</t>
        </is>
      </c>
      <c r="O40" t="inlineStr">
        <is>
          <t>https://contents.kyobobook.co.kr/sih/fit-in/200x0/pdt/9791173161896.jpg</t>
        </is>
      </c>
    </row>
    <row r="41">
      <c r="A41" t="inlineStr">
        <is>
          <t>S000220447668</t>
        </is>
      </c>
      <c r="B41" t="n">
        <v>40</v>
      </c>
      <c r="C41" t="inlineStr">
        <is>
          <t>읽는 기도: 휴거 깨어있으라</t>
        </is>
      </c>
      <c r="D41" t="inlineStr">
        <is>
          <t>『휴거 깨어 있으라』의 출간 목적은 독자를 불안하게 만들거나 공포를 조장하는 데 있지 않다. 오히려 아직 기회가 있을 때 하나님께 돌아가고, 삶의 자리에서 죄에 무뎌지지 않으며, 말씀과 기도로 주님을 기다리는 믿음을 회복하도록 권면하는 데 있다.
이 책은 휴거를 단순한 종말의 공포나 미래에 대한 추측으로 다루지 않는다. 오히려 “항상 기도하며 깨어 있으라”는 말씀처럼, 매일의 말과 생각, 관계와 선택 속에서 하나님을 의식하며 살아가는 것이 무엇인지 구체적으로 돌아보게 한다.
숨겨진 죄와 반복되는 습관, 감정과 언어, 말씀과 기도, 예배와 공동체 생활까지 점검하는 ‘휴거 대비 영적 점검 리스트 100개’는 독자가 자신의 믿음을 정죄가 아닌 회복의 자리에서 살펴보도록 한다.
저자는 휴거 이후의 7년 대환난, 적그리스도와 짐승의 표, 아마겟돈 전쟁, 천년왕국, 새 하늘과 새 땅에 이르는 흐름도 함께 다룬다. 해석의 차이와 논의가 이어져 온 요한계시록의 본문들을 단순한 자극이나 억측으로 풀어내기보다, 성경의 여러 말씀을 연결하여 독자가 말씀 안에서 직접 생각하고 분별할 수 있도록 안내한다.
마지막에는 마음과 영혼, 말씀과 기도, 삶의 방향, 예배와 공동체를 차례로 돌아보는 4주간의 준비 과정을 담았다. 막연히 재림을 기다리는 데 그치지 않고, 오늘 하루를 어떻게 살아야 하는지 실제적으로 붙들어 주는 구성이다.
재림과 휴거에 관한 성경적 흐름을 이해하고 싶은 독자, 자신의 믿음과 삶을 다시 점검하고 싶은 성도, 말씀 안에서 깨어 있는 삶을 회복하고 싶은 이들에게 이 책은 조용하지만 분명한 영적 안내서가 되어 줄 것이다.</t>
        </is>
      </c>
      <c r="E41" t="inlineStr">
        <is>
          <t>무명의 기도자</t>
        </is>
      </c>
      <c r="F41" t="inlineStr">
        <is>
          <t>더하트</t>
        </is>
      </c>
      <c r="G41" t="inlineStr">
        <is>
          <t>2026-07-14</t>
        </is>
      </c>
      <c r="H41" t="n">
        <v>8800</v>
      </c>
      <c r="I41" t="n">
        <v>7920</v>
      </c>
      <c r="J41" t="n">
        <v>10</v>
      </c>
      <c r="K41" t="n">
        <v>0</v>
      </c>
      <c r="L41" t="n">
        <v>119</v>
      </c>
      <c r="M41" t="n">
        <v>9.9</v>
      </c>
      <c r="N41" t="inlineStr">
        <is>
          <t>종교</t>
        </is>
      </c>
      <c r="O41" t="inlineStr">
        <is>
          <t>https://contents.kyobobook.co.kr/sih/fit-in/200x0/pdt/9791194177616.jpg</t>
        </is>
      </c>
    </row>
    <row r="42">
      <c r="A42" t="inlineStr">
        <is>
          <t>S000218942259</t>
        </is>
      </c>
      <c r="B42" t="n">
        <v>41</v>
      </c>
      <c r="C42" t="inlineStr">
        <is>
          <t>돈의 심리학(50만 부 기념 뉴 에디션)</t>
        </is>
      </c>
      <c r="D42" t="inlineStr">
        <is>
          <t>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 부의 원칙은 변하지 않지만, 사람들은 늘 같은 실수를 반복한다는 것. 시장은 끊임없이 요동치지만, 공포와 탐욕, 비교와 후회 같은 인간의 심리는 놀라울 만큼 비슷한 방식으로 되풀이된다. 이번에 추가된 보너스 스토리는 이처럼 변하지 않는 부의 본질을 다시 한번 정확히 짚어내며, 독자들에게 흔들리지 않는 투자 철학을 전한다.
인간의 심리에서 비롯된 선택들이 어떻게 장기적인 자산 격차로 이어지는지 명쾌하고 설득력 있게 풀어낸 《돈의 심리학》은 월가의 전설 하워드 막스, 《아주 작은 습관의 힘》의 저자 제임스 클리어 등 세계적 거장들과 국내외 주요 언론의 극찬을 받으며 이제 단순한 베스트셀러를 넘어 투자의 ‘교과서’이자 시대를 관통하는 고전으로 자리매김했다. 모건 하우절이 제시하는 ‘돈의 심리학’은 독자들의 투자 여정을 지켜주는 단단한 이정표가 되어줄 것이다.</t>
        </is>
      </c>
      <c r="E42" t="inlineStr">
        <is>
          <t>모건 하우절</t>
        </is>
      </c>
      <c r="F42" t="inlineStr">
        <is>
          <t>인플루엔셜</t>
        </is>
      </c>
      <c r="G42" t="inlineStr">
        <is>
          <t>2026-01-14</t>
        </is>
      </c>
      <c r="H42" t="n">
        <v>24800</v>
      </c>
      <c r="I42" t="n">
        <v>22320</v>
      </c>
      <c r="J42" t="n">
        <v>10</v>
      </c>
      <c r="K42" t="n">
        <v>0</v>
      </c>
      <c r="L42" t="n">
        <v>222</v>
      </c>
      <c r="M42" t="n">
        <v>9.880000000000001</v>
      </c>
      <c r="N42" t="inlineStr">
        <is>
          <t>경제/경영</t>
        </is>
      </c>
      <c r="O42" t="inlineStr">
        <is>
          <t>https://contents.kyobobook.co.kr/sih/fit-in/200x0/pdt/9791168343443.jpg</t>
        </is>
      </c>
    </row>
    <row r="43">
      <c r="A43" t="inlineStr">
        <is>
          <t>S000218674985</t>
        </is>
      </c>
      <c r="B43" t="n">
        <v>42</v>
      </c>
      <c r="C43" t="inlineStr">
        <is>
          <t>2026 큰별쌤 최태성의 별별한국사 한국사능력검정시험 심화(1,2,3급)(하)</t>
        </is>
      </c>
      <c r="D43" t="inlineStr">
        <is>
          <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
〈2026 큰별쌤 최태성의 별별한국사 한국사능력검정시험 심화(1·2·3급) 하〉의 앞표지는 1억원 기부를 통해 사랑의 열매 '아너 소사이어티'에 가입되도록 함께 지원해 주신 최태성 1, 2TV 별님들로 구성되었습니다."</t>
        </is>
      </c>
      <c r="E43" t="inlineStr">
        <is>
          <t>최태성</t>
        </is>
      </c>
      <c r="F43" t="inlineStr">
        <is>
          <t>이투스북</t>
        </is>
      </c>
      <c r="G43" t="inlineStr">
        <is>
          <t>2025-12-09</t>
        </is>
      </c>
      <c r="H43" t="n">
        <v>18500</v>
      </c>
      <c r="I43" t="n">
        <v>16650</v>
      </c>
      <c r="J43" t="n">
        <v>10</v>
      </c>
      <c r="K43" t="n">
        <v>0</v>
      </c>
      <c r="L43" t="n">
        <v>311</v>
      </c>
      <c r="M43" t="n">
        <v>9.92</v>
      </c>
      <c r="N43" t="inlineStr">
        <is>
          <t>인문</t>
        </is>
      </c>
      <c r="O43" t="inlineStr">
        <is>
          <t>https://contents.kyobobook.co.kr/sih/fit-in/200x0/pdt/9791138934442.jpg</t>
        </is>
      </c>
    </row>
    <row r="44">
      <c r="A44" t="inlineStr">
        <is>
          <t>S000220241328</t>
        </is>
      </c>
      <c r="B44" t="n">
        <v>43</v>
      </c>
      <c r="C44" t="inlineStr">
        <is>
          <t>지적인 삶을 위한  열 가지 철학</t>
        </is>
      </c>
      <c r="D44" t="inlineStr">
        <is>
          <t>“왜 우리는 같은 말을 하면서도 끝없이 싸우는가?”
정의, 자유, 권력, 노동, 전쟁…
당연하다고 믿었던 단어들의 정체를 파헤치는
가장 지적인 ‘세계 해석 수업’
직장 회의실에서, 온라인 토론장에서, 심지어 가장 사적인 대화에서조차 우리는 문득 기묘한 단절감을 느낀다. 분명 같은 한국어로 대화하는데 논의는 평행선을 달리고, 격렬하게 부딪히면서도 정작 무엇 때문에 싸우는지 모호한 순간들. ‘말이 통하지 않는다’는 이 고질적인 감각의 원인은 무엇일까.
일본의 대표적인 대중 철학자 오카모토 유이치로 교수는 그 원인을 이렇게 진단한다. 우리는 똑같은 단어를 내뱉으면서도 머릿속으로는 전혀 다른 세계를 그리고 있다고. 대화가 깊어질수록 오해의 골만 깊어지는 ‘불통’의 시대인 이유다.
이 불통의 안개를 걷어 내기 위해 저자가 꺼내 든 도구는 다름 아닌 ‘철학’이다. 철학은 흔히 현실과 동떨어진 현학적 말장난으로 치부되지만, 사실 우리 사회를 움직이는 언어와 개념의 의미를 분석하는 가장 강력한 도구다. 마르크스 가브리엘이 “세계는 존재하지 않는다”고 선언할 때, 하이데거가 인간을 ‘세계 속의 존재’라고 규정할 때 여기서 중요한 것은 누가 옳고 그르냐가 아니다. 두 사람이 ‘세계’라는 단어 하나를 통해 각기 다른 맥락과 사유의 층위를 조명하고 있다는 사실, 바로 그것이다. 철학자들의 치열한 사유를 빌려 단어의 다층적 의미를 이해하는 과정은 사고의 혼란을 잠재우고 논리의 뼈대를 바로 세우는 강력한 무기가 된다.
이 책은 우리가 완전히 안다고 착각하는 열 가지 핵심 개념-정의·기술·권력·폭력·자유·노동·소외·국가·종교·전쟁-이 시대와 철학자에 따라 어떻게 변주되어 왔는지를 치밀하게 파고든다. 일상에서 숨 쉬듯 쓰는 단어이지만, 그 이면에는 인류 지성사가 부딪히며 쌓아 온 거대한 논쟁의 역사가 잠들어 있다. 존 롤스의 ‘공정함’과 아리스토텔레스의 ‘미덕’이 충돌하는 지점, 이사야 벌린이 말한 ‘소극적 자유’와 ‘적극적 자유’가 오늘날 우리의 선택을 어떻게 규정하는지를 짚어 내며 상식을 근본적으로 뒤흔든다. 당연했던 단어들이 가면을 벗고 낯선 얼굴을 드러내는 순간, 독자의 사고 지평은 비로소 넓어진다.
저자의 통찰은 과거의 박제된 철학에 머물지 않는다. 디지털 감시 체제와 미셸 푸코의 권력론을 연결하고, AI와 로봇 시대의 노동을 한나 아렌트의 시선으로 재해석하는 대목은 이 책이 왜 ‘지금, 여기를 살아가는 우리’를 위한 가장 실용적인 지침서인지를 증명한다. 방대한 철학사를 관통하면서도 무게에 눌리지 않는 저자 특유의 명쾌한 구조화 능력은 복잡한 세상을 단숨에 읽어 내고자 하는 현대인들에게 짜릿한 지적 쾌감을 선사할 것이다.
단어 하나를 제대로 정의한다는 것은 단순한 지식 습득을 넘어 세상을 보는 눈을 새롭게 벼리는 일이다. 이 책의 마지막 장을 덮고 나면, 이전과 똑같은 단어를 사용하면서도 전혀 다른 차원의 세계를 목격하게 된다. 상대방의 논리 너머에 숨겨진 진짜 의도를 꿰뚫어 보고, 모호한 감정이 아닌 명료한 언어로 자신만의 세계를 구축하고 싶은 이들에게 이 책은 가장 확실한 지도가 되어 줄 것이다.</t>
        </is>
      </c>
      <c r="E44" t="inlineStr">
        <is>
          <t>오카모토 유이치로</t>
        </is>
      </c>
      <c r="F44" t="inlineStr">
        <is>
          <t>이든서재</t>
        </is>
      </c>
      <c r="G44" t="inlineStr">
        <is>
          <t>2026-07-10</t>
        </is>
      </c>
      <c r="H44" t="n">
        <v>19800</v>
      </c>
      <c r="I44" t="n">
        <v>17820</v>
      </c>
      <c r="J44" t="n">
        <v>10</v>
      </c>
      <c r="K44" t="n">
        <v>0</v>
      </c>
      <c r="L44" t="n">
        <v>9</v>
      </c>
      <c r="M44" t="n">
        <v>10</v>
      </c>
      <c r="N44" t="inlineStr">
        <is>
          <t>인문</t>
        </is>
      </c>
      <c r="O44" t="inlineStr">
        <is>
          <t>https://contents.kyobobook.co.kr/sih/fit-in/200x0/pdt/9791194812234.jpg</t>
        </is>
      </c>
    </row>
    <row r="45">
      <c r="A45" t="inlineStr">
        <is>
          <t>S000218791156</t>
        </is>
      </c>
      <c r="B45" t="n">
        <v>44</v>
      </c>
      <c r="C45" t="inlineStr">
        <is>
          <t>ETS 토익 정기시험 기출문제집 1000 Vol 5 LC</t>
        </is>
      </c>
      <c r="D45" t="inlineStr">
        <is>
          <t>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 정확한 스크립트와 기출 포인트를 꿰뚫는 명쾌한 해설! 
최신 출제경향을 가장 정확하게 알 수 있는 기출문제를 풀고 정확한 스크립트와 출제 포인트가 보이는 명쾌한 해설로 토익을 정복해 보자!
5. ETS 토익 온라인/모바일 학습 지원!
온라인 학습 커뮤니티(www.etstoeicbook.co.kr)를 통해 교재 소개 및 학습 콘텐츠, 정기시험 대비특강을 지원한다. 또한 MP3 및 동영상 강의, 기출어휘 단어장, 기출테스트 채점/분석 등을 지원하는 토익 필수템 'ETS 토익기출 수험서 앱'으로 보다 스마트하게 학습해 보자!</t>
        </is>
      </c>
      <c r="E45" t="inlineStr">
        <is>
          <t>ETS</t>
        </is>
      </c>
      <c r="F45" t="inlineStr">
        <is>
          <t>YBM</t>
        </is>
      </c>
      <c r="G45" t="inlineStr">
        <is>
          <t>2025-12-15</t>
        </is>
      </c>
      <c r="H45" t="n">
        <v>22000</v>
      </c>
      <c r="I45" t="n">
        <v>19800</v>
      </c>
      <c r="J45" t="n">
        <v>10</v>
      </c>
      <c r="K45" t="n">
        <v>0</v>
      </c>
      <c r="L45" t="n">
        <v>241</v>
      </c>
      <c r="M45" t="n">
        <v>9.83</v>
      </c>
      <c r="N45" t="inlineStr">
        <is>
          <t>외국어</t>
        </is>
      </c>
      <c r="O45" t="inlineStr">
        <is>
          <t>https://contents.kyobobook.co.kr/sih/fit-in/200x0/pdt/9788917243796.jpg</t>
        </is>
      </c>
    </row>
    <row r="46">
      <c r="A46" t="inlineStr">
        <is>
          <t>S000219024597</t>
        </is>
      </c>
      <c r="B46" t="n">
        <v>45</v>
      </c>
      <c r="C46" t="inlineStr">
        <is>
          <t>읽는기도: 회개스캔</t>
        </is>
      </c>
      <c r="D46" t="inlineStr">
        <is>
          <t>『회개 스캔』은 회개하고 싶지만 고백의 말이 떠오르지 않아 끝내 침묵해 버린 이들을 위한 11일 기도책입니다. 회개는 ‘말을 잘하는 기술’이 아니라, 하나님 앞에서 죄를 숨기지 않고 돌이키는 마음의 결단입니다. 이 책은 성경 말씀으로 시작해, 막혀 있던 회개의 첫 문장을 열어 줍니다.
『회개 스캔』은 4단계 회개 여정으로 구성됩니다. 죄를 깨닫는 회개(Day1), 죄를 통회하는 회개(Day2), 죄에서 돌이키는 회개(Day3-10), 그리고 최고의 영광을 맞이하는 회개(Day11)까지. 하루 한 장씩 따라가며 회개의 길을 구체적으로 걸어가도록 안내합니다.
매일의 흐름은 말씀-묵상-회개기도문-대적기도와 선포-마음의 결단-실천 미션으로 이어집니다. 기도하다 멈춰 서던 사람도 자연스럽게 회개의 흐름 안으로 들어가, 조용히 읽고 묵상하며 소리 내어 기도하는 자리에서 결단과 실천으로 나아가게 됩니다. 11일의 여정을 따라 걷다 보면, 닫혀 있던 기도의 문이 다시 열릴 것입니다.</t>
        </is>
      </c>
      <c r="E46" t="inlineStr">
        <is>
          <t>무명의 기도자</t>
        </is>
      </c>
      <c r="F46" t="inlineStr">
        <is>
          <t>더하트</t>
        </is>
      </c>
      <c r="G46" t="inlineStr">
        <is>
          <t>2026-01-20</t>
        </is>
      </c>
      <c r="H46" t="n">
        <v>8800</v>
      </c>
      <c r="I46" t="n">
        <v>7920</v>
      </c>
      <c r="J46" t="n">
        <v>10</v>
      </c>
      <c r="K46" t="n">
        <v>0</v>
      </c>
      <c r="L46" t="n">
        <v>281</v>
      </c>
      <c r="M46" t="n">
        <v>9.789999999999999</v>
      </c>
      <c r="N46" t="inlineStr">
        <is>
          <t>종교</t>
        </is>
      </c>
      <c r="O46" t="inlineStr">
        <is>
          <t>https://contents.kyobobook.co.kr/sih/fit-in/200x0/pdt/9791194177487.jpg</t>
        </is>
      </c>
    </row>
    <row r="47">
      <c r="A47" t="inlineStr">
        <is>
          <t>S000218736039</t>
        </is>
      </c>
      <c r="B47" t="n">
        <v>46</v>
      </c>
      <c r="C47" t="inlineStr">
        <is>
          <t>2026 이지패스 ADsP 데이터분석 준전문가</t>
        </is>
      </c>
      <c r="D47" t="inlineStr">
        <is>
          <t>&lt;b&gt;미어캣 2026 최신 기출문제 수록 앱 제공 | 비전공자 20일 완성&lt;/b&gt;
◎ 빠르고 효율적인 공부를 위한 ADsP 수험서
방대한 데이터 분석 콘텐츠를 ADsP 출제 경향에 맞게 핵심적으로 간결하게 정리하여 시간에 쫓기는 수험생들에게 최대한 공부 효율을 높일 수 있도록 구성했습니다.
◎ 초심자, 비전공자들을 위해 이해하기 쉽게 풀어 쓴 ADsP 수험서
데이터 분석을 처음 접하는 초심자나 비전공자들이 이해하기 쉽도록 용어와 문장을 다듬었습니다. 아울러 초심자 비전공자를 위한 ‘EASY BOX’, 출제 경향과 중요도를 안내하는 ‘TIP-BOX’, 풍부한 설명을 담은 ‘참고-BOX’와 그래프, 표 등을 활용하여 이해하기 쉽도록 구성했습니다. 
◎ 풍부한 R 실습 예제로 충분히 이해할 수 있도록 구성
R을 활용한 분석 실습 예제로 실제 적용 과정을 이해할 수 있어, 무작정 외우는 공부가 아닌 이해하는 공부가 될 수 있도록 구성했습니다. 
◎ 총 1,904문항에 달하는 압도적인 문제편
각 절마다 등장하는 핵심문제, 기출유형문제, 예상문제, 모의고사 3회분, 기출변형문제 3회분 앱에 수록된 기출문제 등 총 1,904문항에 달하는 방대한 문제를 수록하여 문제를 통한 반복 훈련에 부족함이 없도록 구성했습니다. 
◎ 유튜브 무료 강의(핵심 요약 벼락치기 특강) 제공
중요한 핵심 개념을 총정리 할 수 있는 ‘핵심 요약 강의’와 ‘기출문제 풀이’ 강의를 제공합니다. 교재와 함께 활용한다면 효율적인 학습을 할 수 있을 것입니다.
◎ 자투리 시간 활용을 위한 수험용 앱 제공
자투리 시간을 활용해 틈틈이 학습할 수 있는 수험용 앱을 제공합니다. 수험용 앱에서는 총 31회차의 모의고사 및 기출문제를 수록하고 있으며, 자동으로 채점해주는 기능과 오답노트 기능이 있어 효율적으로 학습할 수 있습니다.
◎ 독자의 궁금증을 해결해주는 Q&amp;A 커뮤니티 운영
저자가 직접 답변해주는 Q&amp;A 게시판과 온라인 스터디가 진행되는 커뮤니티를 운영합니다. 궁금한 점을 해결하고, 책에 수록되지 않은 정보와 최신 자료를 얻을 수 있습니다. 
★ 이 책에서 다루는 내용 ★
◎ 1과목 〈데이터 이해〉 - 데이터의 이해, 데이터의 가치와 미래, 가치 창조를 위한 데이터 사이언스와 전략 인사이트
◎ 2과목 〈데이터 분석 기획〉 - 데이터 분석 기획의 이해, 분석 마스터플랜
◎ 3과목 〈데이터 분석〉 - R 기초와 데이터 마트, 통계 분석, 정형 데이터 마이닝</t>
        </is>
      </c>
      <c r="E47" t="inlineStr">
        <is>
          <t>박현민 외</t>
        </is>
      </c>
      <c r="F47" t="inlineStr">
        <is>
          <t>위키북스</t>
        </is>
      </c>
      <c r="G47" t="inlineStr">
        <is>
          <t>2026-01-02</t>
        </is>
      </c>
      <c r="H47" t="n">
        <v>30000</v>
      </c>
      <c r="I47" t="n">
        <v>27000</v>
      </c>
      <c r="J47" t="n">
        <v>10</v>
      </c>
      <c r="K47" t="n">
        <v>0</v>
      </c>
      <c r="L47" t="n">
        <v>327</v>
      </c>
      <c r="M47" t="n">
        <v>9.890000000000001</v>
      </c>
      <c r="N47" t="inlineStr">
        <is>
          <t>컴퓨터/IT</t>
        </is>
      </c>
      <c r="O47" t="inlineStr">
        <is>
          <t>https://contents.kyobobook.co.kr/sih/fit-in/200x0/pdt/9791158396510.jpg</t>
        </is>
      </c>
    </row>
    <row r="48">
      <c r="A48" t="inlineStr">
        <is>
          <t>S000220574035</t>
        </is>
      </c>
      <c r="B48" t="n">
        <v>47</v>
      </c>
      <c r="C48" t="inlineStr">
        <is>
          <t>너로 피어 꽃이 되다</t>
        </is>
      </c>
      <c r="D48" t="inlineStr">
        <is>
          <t>▶ 사이에서 피어나는 마음
이 책은 거창한 이야기로 시작하지 않는다. 특별한 사건이나 극적인 전환도 등장하지 않는다. 사소하고 조용한 장면들, 누구나 한 번쯤 지나왔을 법한 하루의 결에서 이야기를 길어 올린다. 출근길 횡단보도 위에 구르는 생각들, 저녁 무렵 강가를 달리다 부는 바람에 땀을 식히며 마음에 들어오는 감정들, 그리고 하루를 마무리하며 스스로를 돌아보는 짧은 순간들. 이 책은 그처럼 흘려버리면 아무것도 아니지만 손끝으로 튕기는 것들을 붙잡아 한 장 한 장 모아놓은 기록이다.
『너로 피어 꽃이 되다』는 삶의 정면을 설명하려 하지 않는다. 삶의 곁을 천천히 따라 걸으며, 그 안에서 마주한 감정과 깨달음을 조용히 건넨다. 설렘과 두려움이 동시에 존재하는 삶의 이중성, 그 속에서 흔들리면서도 끝내 앞으로 나아가려는 마음, 그리고 그 마음을 담담하게 펼치고 있다. 독자에게 무엇을 해야 한다 가르치려 들지 않는다. 다만 이렇게도 하루를 건너갈 수 있음을 말없이 보여준다.
글을 읽다 보면 그 중심에 ‘시간’이 있음을 발견한다. 흘러가다 멈추기도 하고 쌓이기도 하는 시간, 그리고 그 시간 속에서 조금씩 변화해 가는 삶의 모습이 그림처럼 그려진다. 하루하루는 쉽게 지나가 버리는 듯하지만, 그 하루들이 모여 결국 한 사람을 만들어 감을 환기시켜준다. 어떤 날은 견디는 것만으로 충분하고, 어떤 날은 한 걸음 나아가는 것으로 의미가 된다는 것을 보여준다. 그렇게 축적된 시간은 결국 하나의 방향을 만들어 내고, 그 방향 속에서 한 사람의 삶은 서서히 영글어간다.
이 책은 감정을 과장하지 않는 태도가 인상적이다. 기쁨은 조용히 번지고, 슬픔은 깊이 가라앉으며, 불안은 크게 소리 내지 않는다. 대신 그 모든 감정은 ‘흘려보내는 방식’으로 다루어진다. 두려움은 밀어내기보다는 조금씩 내려놓고, 지나가는 순간들은 붙잡기보다는 바라본다. 이러한 태도는 독자에게 위로를 강요하지 않으면서도 자연스럽게 마음을 가볍게 만든다. 글을 읽으며 읽는 사람이 스스로의 속도를 다시 찾게 하는 힘이 책 속에 담겨 있다.
또한 〈너로 피어 꽃이 되다〉는 ‘자기 수용’에 대한 이야기이기도 하다. 완전해지려는 노력보다는 지금의 상태를 인정하고, 더 나아가 그 상태를 끌어안는 용기를 중요하게 말하고 있다. 있는 그대로의 모습을 받아들이는 일이 쉽지 않지만, 그 과정을 통해 비로소 삶이 단단해진다는 메시지를 보여주고 있다. 실제로 살아낸 시간들을 통해 자연스럽게 말이다.
이 책에서는 일상에서 우리가 늘 만나는 것들이 중요한 역할을 한다. 책을 읽고 글을 쓰는 서재, 하루를 살아내는 사무실, 산책길에 만나는 꽃과 구름, 저녁 무렵 한강을 달리고 돌아오는 길에 만나는 석양, 이러한 세상이 단순한 배경이 아니라 사유가 시작되는 지점이 된다. 익숙한 공간 속에서 낯선 감정을 발견하고, 반복되는 하루 속에서 새로운 의미를 찾아내는 과정을 세밀하게 그리고 있다. 그래서 이 책을 읽다 보면 특별한 장소가 아닌, 지금 머물고 있는 자리에서도 충분히 깊은 생각이 가능하다는 사실을 자연스럽게 깨닫게 된다.
무엇보다 이 책은 ‘속도’에 대한 감각을 다시 생각하게 만든다. 빠르게 흘러가는 세상 속에서 조금 늦어도 괜찮다는 것, 멈춰 서는 시간 역시 삶의 일부라는 것, 그리고 때로는 아무것도 하지 않는 시간조차도 가장 중요한 순간이 될 수 있음을 일깨워 준다. 이러한 시선은 독자에게 경쟁이나 비교가 아닌, 자신의 호흡으로 살아가는 삶의 소중함을 생각하게 한다.
〈너로 피어 꽃이 되다〉라는 제목은 단순한 은유를 넘어 하나의 방향성을 담고 있다. 타인이나 환경에 의해 만들어지는 삶이 아니라, 스스로의 시간과 감정을 통해 서서히 피어나는 존재. 이 책은 그 과정을 ‘꽃이 되는 일’로 표현한다. 꽃은 하루아침에 피어나지 않는다. 보이지 않는 시간 속에서 준비되고, 계절을 지나며 서서히 모습을 드러낸다. 이 책에 담긴 문장들 역시 그러한 시간을 통과해 온 결과물이며, 그 자체로 하나의 성장의 기록이다.
이 책은 떠들썩한 목소리로 위로하지 않는다. 대신 작은 목소리로 우리 곁에 머물다 어느새 스며들게 한다. 읽고 나서도 쉽게 사라지지 않고, 일상의 어느 순간에 문득 떠오르는 문장으로 남는다. 하루를 살아내는 일이 버겁게 느껴질 때, 혹은 아무 이유 없이 마음이 흔들릴 때, 이 책은 조용히 곁에 앉아 함께 시간을 보내는 존재가 될 것이다.
〈너로 피어 꽃이 되다〉는 특별해지기 위한 이야기가 아니라, 이미 지나고 있는 시간을 다시 바라보게 하는 책이다. 그리고 그 시간을 통해 결국 자신을 이해하게 되는 과정을 담고 있다. 그렇게 한 사람의 하루는 조금씩 단단해지고, 그 하루들이 모여 하나의 삶이 된다.
이 책은 말한다. 삶은 거창한 변화가 아니라, 지금 이 자리에서 시작된다고. 그리고 그 시작은 이미 충분히 의미 있다고.</t>
        </is>
      </c>
      <c r="E48" t="inlineStr">
        <is>
          <t>온유경</t>
        </is>
      </c>
      <c r="F48" t="inlineStr">
        <is>
          <t>마음세상</t>
        </is>
      </c>
      <c r="G48" t="inlineStr">
        <is>
          <t>2026-08-14</t>
        </is>
      </c>
      <c r="H48" t="n">
        <v>17600</v>
      </c>
      <c r="I48" t="n">
        <v>15840</v>
      </c>
      <c r="J48" t="n">
        <v>10</v>
      </c>
      <c r="K48" t="n">
        <v>0</v>
      </c>
      <c r="L48" t="n">
        <v>11</v>
      </c>
      <c r="M48" t="n">
        <v>10</v>
      </c>
      <c r="N48" t="inlineStr">
        <is>
          <t>시/에세이</t>
        </is>
      </c>
      <c r="O48" t="inlineStr">
        <is>
          <t>https://contents.kyobobook.co.kr/sih/fit-in/200x0/pdt/9791156366713.jpg</t>
        </is>
      </c>
    </row>
    <row r="49">
      <c r="A49" t="inlineStr">
        <is>
          <t>S000219813469</t>
        </is>
      </c>
      <c r="B49" t="n">
        <v>48</v>
      </c>
      <c r="C49" t="inlineStr">
        <is>
          <t>완자 고등 세포와 물질대사(2026)</t>
        </is>
      </c>
      <c r="D49" t="inlineStr">
        <is>
          <t>- 2022개정 교육과정의 4종 교과서를 완벽 분석하여 세포와 물질대사의 핵심 개념을 쉽고 체계적으로 정리하였습니다. 
- 혼자서도 교과 개념을 익히고 내신 시험을 준비할 수 있는 ‘완벽한 자율 학습서’입니다.
- 고난도 문제로 내신 1등급에 도전할 수 있습니다.</t>
        </is>
      </c>
      <c r="E49" t="inlineStr">
        <is>
          <t>이영호 외</t>
        </is>
      </c>
      <c r="F49" t="inlineStr">
        <is>
          <t>비상교육</t>
        </is>
      </c>
      <c r="G49" t="inlineStr">
        <is>
          <t>2026-05-01</t>
        </is>
      </c>
      <c r="H49" t="n">
        <v>20000</v>
      </c>
      <c r="I49" t="n">
        <v>18000</v>
      </c>
      <c r="J49" t="n">
        <v>10</v>
      </c>
      <c r="K49" t="n">
        <v>0</v>
      </c>
      <c r="L49" t="n">
        <v>33</v>
      </c>
      <c r="M49" t="n">
        <v>9.83</v>
      </c>
      <c r="N49" t="inlineStr">
        <is>
          <t>중/고등참고서</t>
        </is>
      </c>
      <c r="O49" t="inlineStr">
        <is>
          <t>https://contents.kyobobook.co.kr/sih/fit-in/200x0/pdt/9791173167997.jpg</t>
        </is>
      </c>
    </row>
    <row r="50">
      <c r="A50" t="inlineStr">
        <is>
          <t>S000220568739</t>
        </is>
      </c>
      <c r="B50" t="n">
        <v>49</v>
      </c>
      <c r="C50" t="inlineStr">
        <is>
          <t>사고력을 키우는 수학의 힘</t>
        </is>
      </c>
      <c r="D50" t="inlineStr">
        <is>
          <t>많은 사람이 학창 시절 가장 어려웠던 과목으로 수학을 꼽는다. 처음에는 무난하게 따라가던 사람도 학년이 올라갈수록 수학이 낯설고 어렵게 느껴져 서서히 흥미를 잃는다. 시간을 들여 문제를 풀고 공식을 외워도 실력은 기대만큼 늘지 않고, 조금만 형태가 다른 문제를 만나면 어디서부터 접근해야 할지 막막해진다. 이로 인해 이른바 ‘수포자’, 수학을 포기한 사람도 적지 않을 것이다. 
이는 단순히 공부량이 부족해서 생기는 문제가 아니다. 우리는 오랫동안 수학을 ‘생각하는 학문’이라기보다 ‘암기해야 하는 과목’으로 배웠다. 무작정 공식과 풀이법만 줄줄 외워, 정작 그 공식이 어떻게 성립하는지, 어떤 원리로 문제가 전개되는지 충분히 이해하지 못한 경우가 많다. 그래서 익숙한 문제는 쉽게 풀어도 조금만 조건이 달라지면 배운 내용을 활용하지 못한다. 아무리 문제를 많이 풀어도 사고력은 충분히 성장하지 않는 이유가 바로 여기에 있다.
『사고력을 키우는 수학의 힘』은 이러한 문제의식에서 출발한다. 이 책은 중·고등학교 교육과정의 핵심 내용을 바탕으로 구성한 18개의 주제를 통해 수학을 새로운 시각에서 바라보도록 이끈다. 단순히 정답을 구하는 방법을 설명하는 데 그치지 않고, 왜 그런 답이 나오는지, 그 과정에서 어떤 사고가 이루어지는지를 함께 탐구한다. 도형과 식, 함수와 그래프를 ‘기하’와 ‘대수’라는 두 가지 관점에서 살펴보며 문제의 본질을 이해하도록 돕고, 수학 속에 숨어 있는 사고의 원리를 자연스럽게 발견하도록 안내한다.
공식이 아닌 생각의 원리를 배우다
“수학은 사고력의 언어다”
책의 각 장은 하나의 작은 질문에서 시작된다.
‘왜 삼각형의 내각의 합은 180도일까?’
‘마이너스와 마이너스를 곱하면 왜 플러스가 될까?’
‘함수 그래프는 왜 이런 모양을 가지는 걸까?’
이 책은 이러한 질문을 따라가며 정답을 암기하기보다 스스로 생각하고 추론하는 과정을 경험하도록 이끈다. 익숙하게 받아들였던 수학적 사실을 새로운 시선으로 바라보고, 그 원리를 하나씩 이해하는 과정에서 독자는 문제를 분석하고 사고하는 힘을 자연스럽게 키우게 된다. 수학은 계산 기술이 아니라 ‘세상을 이해하는 하나의 사고방식’이라는 점도 새롭게 발견하게 될 것이다.
또한 이 책은 수학을 공식과 정리의 집합으로만 다루지 않는다. 데카르트와 유클리드 같은 위대한 수학자들의 통찰을 소개하며 수학이 어떤 질문에서 출발해 어떻게 발전해 왔는지를 함께 살펴본다. 더 깊이 생각해 볼 수 있도록 책 곳곳에 마련한 ‘매스 토크(MATH TALK)’ 코너는 한 걸음 더 나아
가 수학의 개념을 다양한 관점에서 탐구하도록 돕는다. 이를 통해 독자는 수학을 단순한 계산의 기술이 아니라 논리와 
사고를 확장하는 ‘지적 도구’로 만나게 된다.
저자는 “문제 풀이란 결국 생각의 결과물이다”라고 말한다. 공식을 적용하는 기술만으로는 수학의 본질에 다가갈 수 없다. 중요한 것은 문제를 바라보는 관점과 원리를 이해하는 힘, 그리고 자신의 언어로 설명할 수 있는 사고력이다. 이러한 힘이 쌓일 때 수학은 더 이상 어려운 계산의 대상이 아니라, 세상을 이해하는 흥미로운 탐구의 대상이 된다.
『사고력을 키우는 수학의 힘』은 단순히 수학 지식을 전달하는 책이 아니다. 수학을 통해 생각하는 법을 배우고, 익숙한 개념을 새로운 시각으로 바라보도록 이끄는 책이다. 수학적 사고의 본질을 이해하는 순간, 독자는 문제를 푸는 능력을 넘어 세상을 바라보는 사고의 폭까지 한층 넓힐 수 있을 것이다.</t>
        </is>
      </c>
      <c r="E50" t="inlineStr">
        <is>
          <t>장허</t>
        </is>
      </c>
      <c r="F50" t="inlineStr">
        <is>
          <t>미디어숲</t>
        </is>
      </c>
      <c r="G50" t="inlineStr">
        <is>
          <t>2026-08-10</t>
        </is>
      </c>
      <c r="H50" t="n">
        <v>19800</v>
      </c>
      <c r="I50" t="n">
        <v>17820</v>
      </c>
      <c r="J50" t="n">
        <v>10</v>
      </c>
      <c r="K50" t="n">
        <v>0</v>
      </c>
      <c r="L50" t="n">
        <v>0</v>
      </c>
      <c r="M50" t="n">
        <v>0</v>
      </c>
      <c r="N50" t="inlineStr">
        <is>
          <t>과학</t>
        </is>
      </c>
      <c r="O50" t="inlineStr">
        <is>
          <t>https://contents.kyobobook.co.kr/sih/fit-in/200x0/pdt/9791158749385.jpg</t>
        </is>
      </c>
    </row>
    <row r="51">
      <c r="A51" t="inlineStr">
        <is>
          <t>S000220273799</t>
        </is>
      </c>
      <c r="B51" t="n">
        <v>50</v>
      </c>
      <c r="C51" t="inlineStr">
        <is>
          <t>미치도록 알고 싶은 아이디어 발상법</t>
        </is>
      </c>
      <c r="D51" t="inlineStr">
        <is>
          <t>이 책의 저자 나카가와 료는 세계 최대 규모의 광고대행사인 덴쓰의 카피라이터가 되어 번뜩이는 창의성으로 세계 시장을 주름잡고 싶었다. 하지만 막상 입사하고 나니, 현실은 예상과 달리 처참했다. 그는 사내 크리에이티브 테스트조차 통과하지 못해 기타 여러 부서를 전전해야 했다. 그렇게 무려 7년간 “왜 내가 떠올린 아이디어는 다른 사람들에게 한심해 보일까?”라는 질문의 답을 찾으려 씨름했다. 창의적인 발상력을 기르고자 해외 유명 공모전 수상작을 분석하고, 관련된 책을 모조리 찾아 읽으며 ‘어떻게 하면 사람의 마음을 움직이는 기획을 만들 수 있을지’ 연구하고 시험했다. 그리고 마침내 하나의 생각 회로, 창의력 공식을 완성했다.
그 성과는 놀라웠다. 회사 내에서도 창의성을 인정받지 못하던 저자는 세계적인 칸 광고제 ‘영 라이언즈 컴피티션’ 예선에서 우승해 일본 대표로 선발되었고, 아시아 대회인 ‘영 스파이크스 컴피티션’에서 본선 최고상을 받는 영예를 차지했다. 덴쓰에서도 대표 카피라이터로 활약하다가, 마침내 구글 크리에이티브 디렉터가 되어 싱가포르와 오스트레일리아에서 근무했다. 이 모든 것이 그가 완성한 창의력 공식 덕분이었다. 저자는 이 공식이 카피라이터나 전문 기획자에게만 도움이 되는 것은 아니라고 강조한다. 인생의 돌파구를 마련하고 싶거나, 효율적인 업무처리 능력을 개발하고 싶거나, 더 행복한 미래를 설계하고 싶은 모두에게 이 책은 분명 결정적인 전환점을 제공해 주리라 확신한다. 자신이 몸소 검증한 공식이기 때문이다.</t>
        </is>
      </c>
      <c r="E51" t="inlineStr">
        <is>
          <t>나카가와 료</t>
        </is>
      </c>
      <c r="F51" t="inlineStr">
        <is>
          <t>알토북스</t>
        </is>
      </c>
      <c r="G51" t="inlineStr">
        <is>
          <t>2026-07-10</t>
        </is>
      </c>
      <c r="H51" t="n">
        <v>17800</v>
      </c>
      <c r="I51" t="n">
        <v>16020</v>
      </c>
      <c r="J51" t="n">
        <v>10</v>
      </c>
      <c r="K51" t="n">
        <v>0</v>
      </c>
      <c r="L51" t="n">
        <v>6</v>
      </c>
      <c r="M51" t="n">
        <v>9.289999999999999</v>
      </c>
      <c r="N51" t="inlineStr">
        <is>
          <t>자기계발</t>
        </is>
      </c>
      <c r="O51" t="inlineStr">
        <is>
          <t>https://contents.kyobobook.co.kr/sih/fit-in/200x0/pdt/9791194655367.jpg</t>
        </is>
      </c>
    </row>
    <row r="52">
      <c r="A52" t="inlineStr">
        <is>
          <t>S000220110685</t>
        </is>
      </c>
      <c r="B52" t="n">
        <v>51</v>
      </c>
      <c r="C52" t="inlineStr">
        <is>
          <t>세상이 그대를 속일지라도</t>
        </is>
      </c>
      <c r="D52" t="inlineStr">
        <is>
          <t>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 두 번째 질문이 훨씬 더 중요한데 말입니다.” 불안정하거나 위험한 계획과는 달리, 성공적인 계획은 언제나 변하는 것이 아닌 변하지 않는 것에 토대를 두고 있다는 말이다.
그러면 변하지 않는 기본은 무엇일까? tvN 예능 프로그램 〈알쓸신잡〉 시리즈로 유명한 ‘철학 하는 과학자’, 경희대학교 물리학과 김상욱 교수가 변치 않는 ‘자연법칙과 인간 본성’, ‘우리 안의 끝없는 욕망 혹은 편향’, ‘미래에 지속적인 영향을 미칠 역사’, 그 가운데 ‘끊임없이 가치나 의미를 부여하는 인간’이라는 네 가지 주제 아래 지금 같은 변화의 시대에 알아두면 쓸데 있는 변치 않을 진실을 전한다.
“물리학에서 가장 중요한 법칙 가운데 하나는 에너지 보존 법칙이다. 에너지는 그 형태를 바꿀 뿐 창조되거나 파괴되지 않는다. 초기 조건이 조금만 변해도 미래를 예측하기 어려워지는 카오스 계에서도 에너지는 변하지 않고 보존된다. 화학자는 화학반응 전후로 원자의 수, 질량, 전하량이 변하지 않는다는 사실을 이용하여 많은 것을 알아낸다.
변화의 시대다. 잠시 한눈팔면 따라가기도 버거운 세상이다. 변화의 예측이 어렵다면 변하지 않는 것부터 찾아봐야 하지 않을까. 물리학에서 가장 먼저 할 일은 에너지와 같이 변하지 않는 물리량들을 찾는 것이다. 변화의 시대, 변하지 않을 것부터 생각해 보면 어떨까.”</t>
        </is>
      </c>
      <c r="E52" t="inlineStr">
        <is>
          <t>김상욱</t>
        </is>
      </c>
      <c r="F52" t="inlineStr">
        <is>
          <t>동아시아</t>
        </is>
      </c>
      <c r="G52" t="inlineStr">
        <is>
          <t>2026-06-12</t>
        </is>
      </c>
      <c r="H52" t="n">
        <v>18000</v>
      </c>
      <c r="I52" t="n">
        <v>16200</v>
      </c>
      <c r="J52" t="n">
        <v>10</v>
      </c>
      <c r="K52" t="n">
        <v>0</v>
      </c>
      <c r="L52" t="n">
        <v>147</v>
      </c>
      <c r="M52" t="n">
        <v>9.74</v>
      </c>
      <c r="N52" t="inlineStr">
        <is>
          <t>과학</t>
        </is>
      </c>
      <c r="O52" t="inlineStr">
        <is>
          <t>https://contents.kyobobook.co.kr/sih/fit-in/200x0/pdt/9788962627145.jpg</t>
        </is>
      </c>
    </row>
    <row r="53">
      <c r="A53" t="inlineStr">
        <is>
          <t>S000219550327</t>
        </is>
      </c>
      <c r="B53" t="n">
        <v>52</v>
      </c>
      <c r="C53" t="inlineStr">
        <is>
          <t>내면 근력</t>
        </is>
      </c>
      <c r="D53" t="inlineStr">
        <is>
          <t>여기, 슬럼프에 빠진 사람에게 생애 최고의 ‘커리어 하이’를 안겨주는 멘탈 코치가 있다. 세계 정상급 선수들과 기업 리더들의 코치 짐 머피다. 그가 구축한 ‘내면 근력(Inner Excellence)’ 훈련은 올림픽 금메달리스트를 비롯한 세계적인 선수들과 수십만 독자들 사이에서 ‘인생을 바꾼 수련이자 철학’으로 불린다. 최근에는 미국 프로풋볼 선수 A.J. 브라운이 경기 도중 이 책을 읽으며 마음을 다잡는 장면이 화제가 되었고, 전 세계에 ‘내면 근력’ 신드롬이 번지는 계기가 됐다.
이토록 많은 이들이 『내면 근력』에 열광하는 이유는, 단기적인 성과가 아니라 내면의 중심을 근본적으로 재정립하는 변화를 만들어내기 때문이다. 이 책은 소유, 지위, 돈과 같은 외적 성공을 이루는 데 집중하지 않는다. 대신 통제할 수 없는 것에 대한 집착을 내려두고, 자신을 믿고 몰입하여 스스로 만든 한계를 넘어서게 돕는다. 그 결과 수많은 이들이 잠재력을 끌어올리고, 저점에서 고점으로 도약하며, 더 충만한 삶으로 나아가는 전환점을 경험했다.
저자 짐 머피는 오랜 시간 세계 정상급 선수들을 코칭하고 인간의 동기와 행동을 연구하며, 지속적인 성장을 가능하게 하는 조건을 깊이 탐구해왔다. 그가 도달한 결론은 명확하다. 탁월한 성취를 좌우하는 것은 타고난 재능이나 환경이 아니라, 자신의 감정과 생각을 인식하고 다스리는 힘, 그리고 실패를 성장의 과정으로 전환하는 능력이다. 우리는 누구나 비범한 잠재력을 지니고 있으며, 노력의 방향을 제대로 잡기만 하면 된다. 『내면 근력』은 바로 그 길을 안내하는 책이다. 
인생을 주도적으로 살아가고 싶은 이에게 내면 근력은 필수적인 토대다. 흔들림 없이 자기 길을 걸어가고 싶다면, 삶에서 단 한 번이라도 진정한 성취를 경험하고 싶다면, 이 책은 평생 곁에 두고 의지할 수 있는 든든한 지침서가 되어줄 것이다.</t>
        </is>
      </c>
      <c r="E53" t="inlineStr">
        <is>
          <t>짐 머피</t>
        </is>
      </c>
      <c r="F53" t="inlineStr">
        <is>
          <t>윌북</t>
        </is>
      </c>
      <c r="G53" t="inlineStr">
        <is>
          <t>2026-04-26</t>
        </is>
      </c>
      <c r="H53" t="n">
        <v>22000</v>
      </c>
      <c r="I53" t="n">
        <v>19800</v>
      </c>
      <c r="J53" t="n">
        <v>10</v>
      </c>
      <c r="K53" t="n">
        <v>0</v>
      </c>
      <c r="L53" t="n">
        <v>300</v>
      </c>
      <c r="M53" t="n">
        <v>9.69</v>
      </c>
      <c r="N53" t="inlineStr">
        <is>
          <t>자기계발</t>
        </is>
      </c>
      <c r="O53" t="inlineStr">
        <is>
          <t>https://contents.kyobobook.co.kr/sih/fit-in/200x0/pdt/9791155819227.jpg</t>
        </is>
      </c>
    </row>
    <row r="54">
      <c r="A54" t="inlineStr">
        <is>
          <t>S000219813405</t>
        </is>
      </c>
      <c r="B54" t="n">
        <v>53</v>
      </c>
      <c r="C54" t="inlineStr">
        <is>
          <t>완자 고등 역학과 에너지(2026)</t>
        </is>
      </c>
      <c r="D54" t="inlineStr">
        <is>
          <t>- 2022개정 교육과정의 4종 교과서를 완벽 분석하여 역학과 에너지 핵심 개념을 쉽고 체계적으로 정리하였습니다. 
- 혼자서도 교과 개념을 익히고 내신 시험을 준비할 수 있는 ‘완벽한 자율 학습서’입니다.
- 고난도 문제로 내신 1등급에 도전할 수 있습니다.</t>
        </is>
      </c>
      <c r="E54" t="inlineStr">
        <is>
          <t>장인수 외</t>
        </is>
      </c>
      <c r="F54" t="inlineStr">
        <is>
          <t>비상교육</t>
        </is>
      </c>
      <c r="G54" t="inlineStr">
        <is>
          <t>2026-05-01</t>
        </is>
      </c>
      <c r="H54" t="n">
        <v>20000</v>
      </c>
      <c r="I54" t="n">
        <v>18000</v>
      </c>
      <c r="J54" t="n">
        <v>10</v>
      </c>
      <c r="K54" t="n">
        <v>0</v>
      </c>
      <c r="L54" t="n">
        <v>39</v>
      </c>
      <c r="M54" t="n">
        <v>9.869999999999999</v>
      </c>
      <c r="N54" t="inlineStr">
        <is>
          <t>중/고등참고서</t>
        </is>
      </c>
      <c r="O54" t="inlineStr">
        <is>
          <t>https://contents.kyobobook.co.kr/sih/fit-in/200x0/pdt/9791173167973.jpg</t>
        </is>
      </c>
    </row>
    <row r="55">
      <c r="A55" t="inlineStr">
        <is>
          <t>S000000620181</t>
        </is>
      </c>
      <c r="B55" t="n">
        <v>54</v>
      </c>
      <c r="C55" t="inlineStr">
        <is>
          <t>데미안</t>
        </is>
      </c>
      <c r="D55" t="inlineStr">
        <is>
          <t>따스한 가정에서 착하게 살아가던 싱클레어 앞에 어느 날 신비한 소년 데미안이 나타나 성서 속 카인과 아벨 이야기로 선악의 진실을 하나씩 가르치기 시작한다. 내면의 선악 사이에서 고뇌하던 싱클레어는 유혹을 이기지 못하고 거리로 나가 금지된 쾌락을 추구하기도 하지만 베아트리체를 만나면서 어두운 내면을 이겨 낸다. 싱클레어가 그린 베아트리체의 초상화는 어딘지 데미안과 닮았다. 데미안에 대한 동경과 강렬한 그리움 때문이다. 그러던 어느 날 싱클레어는 길에서 데미안과 그의 어머니 에바 부인을 만나고, 이후 에바 부인이야말로 자신의 내면에 존재하던 여인이라는 것을 깨닫는다. 얼마 뒤 발발한 전쟁에 참전한 데미안과 싱클레어는 야전 병원에 누워 대화를 나눈다. 자신이 필요할 때면 자기 안에 귀를 기울이라는 말을 남긴 데미안은 다음 날 아침 사라져 버린다.
『데미안』은 주인공 싱클레어와 데미안의 우정을 바탕으로, 성장 과정에서 겪는 시련과 그 시련의 극복, 깨달음을 통해 완전한 자아에 이르는 과정을 성찰한다. 이 작품은 헤세 자신에게도 재출발을 의미했으며, 소년기의 심리, 엄격한 구도성, 문명 비판, 만물의 근원으로서의 어머니라는 관념 등 헤세의 전, 후기 작품 특징이 고루 나타나 있다.
1차 세계대전 직후에 『데미안』이 불러일으킨 반향은 잊을 수 없다. 『데미안』은 섬뜩하리만큼 정확하게 시대의 신경을 건드린 작품이다. 그 시대의 모든 젊은이들은 그들 또래의 선지자 한 명이 나타나 삶의 가장 은밀한 부분을 드러냈다고 생각했고 그 고마운 충격에 기꺼이 휩쓸렸다. ─토마스 만</t>
        </is>
      </c>
      <c r="E55" t="inlineStr">
        <is>
          <t>헤르만 헤세</t>
        </is>
      </c>
      <c r="F55" t="inlineStr">
        <is>
          <t>민음사</t>
        </is>
      </c>
      <c r="G55" t="inlineStr">
        <is>
          <t>2009-01-20</t>
        </is>
      </c>
      <c r="H55" t="n">
        <v>8000</v>
      </c>
      <c r="I55" t="n">
        <v>7200</v>
      </c>
      <c r="J55" t="n">
        <v>10</v>
      </c>
      <c r="K55" t="n">
        <v>0</v>
      </c>
      <c r="L55" t="n">
        <v>1888</v>
      </c>
      <c r="M55" t="n">
        <v>9.619999999999999</v>
      </c>
      <c r="N55" t="inlineStr">
        <is>
          <t>소설</t>
        </is>
      </c>
      <c r="O55" t="inlineStr">
        <is>
          <t>https://contents.kyobobook.co.kr/sih/fit-in/200x0/pdt/9788937460449.jpg</t>
        </is>
      </c>
    </row>
    <row r="56">
      <c r="A56" t="inlineStr">
        <is>
          <t>S000220340900</t>
        </is>
      </c>
      <c r="B56" t="n">
        <v>55</v>
      </c>
      <c r="C56" t="inlineStr">
        <is>
          <t>독서의 기술</t>
        </is>
      </c>
      <c r="D56" t="inlineStr">
        <is>
          <t>강연 섭외 1순위, 독자들이 가장 만나고 싶어 하는 저자 고명환은 한 달에 40차례 이상의 강연으로 수천 명의 사람들을 만난다. 강연이 끝나면 어김없이 손이 올라온다. “그래서 책을 어떻게 읽어야 하나요?”
20여 년간 수천 권의 책을 읽고, 책에서 발견한 진리를 실천하며 살아가는 이 시대 최고의 독서가 고명환이 본격적인 독서 이야기로 돌아왔다. ‘올해의 작가상’ 수상, 해외 5개국 판권 수출, 요식업 CEO 등 개그맨에서 작가이자 강연가, 사업가로 완벽하게 변신한 저자는 이 모든 것이 독서 덕분이라 말한다. 어떻게 독서가 삶의 무기가 되고 질문에 대한 해답을 주는지 『독서의 기술』을 통해 그간의 독서 경험을 가감 없이 펼쳐낸다. 
이 책은 크게 두 개의 질문으로 이루어져 있다. 왜 읽어야 하는가, 그리고 어떻게 읽어야 하는가. 저자는 본인이 몸소 체험한 독서의 순기능과 책을 읽기 위해 직접 실천했던 수십 가지 독서 방법을 진솔하게 풀어내며 그동안 받은 질문들에 대해 명쾌하게 답한다. 또한 삶에서 어떤 문제에 직면했을 때 어떻게 책을 통해 해답을 찾았는지 그 과정도 그대로 담아내 이 책을 읽은 독자들이 자신의 삶에 응용할 수 있도록 했다.
불안한 마음이 들 때면 도서관에 달려가 책을 읽었다는 저자는 “한 시간의 독서로 떨쳐낼 수 없는 불안감은 없다”고 확신한다. 불확실한 시대에 살아남는 유일한 방법이자 미래를 준비하는 가장 큰 무기는 독서뿐이다. 이 책이야말로 당신의 독서를 바꿔줄 가장 실전적인 안내서다.</t>
        </is>
      </c>
      <c r="E56" t="inlineStr">
        <is>
          <t>고명환</t>
        </is>
      </c>
      <c r="F56" t="inlineStr">
        <is>
          <t>라곰</t>
        </is>
      </c>
      <c r="G56" t="inlineStr">
        <is>
          <t>2026-07-08</t>
        </is>
      </c>
      <c r="H56" t="n">
        <v>19800</v>
      </c>
      <c r="I56" t="n">
        <v>17820</v>
      </c>
      <c r="J56" t="n">
        <v>10</v>
      </c>
      <c r="K56" t="n">
        <v>0</v>
      </c>
      <c r="L56" t="n">
        <v>159</v>
      </c>
      <c r="M56" t="n">
        <v>10</v>
      </c>
      <c r="N56" t="inlineStr">
        <is>
          <t>자기계발</t>
        </is>
      </c>
      <c r="O56" t="inlineStr">
        <is>
          <t>https://contents.kyobobook.co.kr/sih/fit-in/200x0/pdt/9791193939666.jpg</t>
        </is>
      </c>
    </row>
    <row r="57">
      <c r="A57" t="inlineStr">
        <is>
          <t>S000220341014</t>
        </is>
      </c>
      <c r="B57" t="n">
        <v>56</v>
      </c>
      <c r="C57" t="inlineStr">
        <is>
          <t>싫을 땐 싫다고 말해요</t>
        </is>
      </c>
      <c r="D57" t="inlineStr">
        <is>
          <t>사랑하는 가족들을 온몸으로 꼭 껴안을 땐 가슴 벅차게 행복합니다. 좋아하는 친구들과 깔깔 웃으며 간지럼 태우기 놀이를 할 때는 세상에서 가장 즐겁지요. 이렇게 주인공 클라라는 소중한 사람들과 몸을 맞대는 것을 좋아합니다. 할머니의 따뜻한 품에 안기는 것, 아빠의 커다란 손을 잡고 걷는 것, 친구의 부드러운 머리카락을 쓰다듬는 것 모두 좋아하지요.
하지만 때로는 그냥 누구와도 접촉하고 싶지 않을 때도 있습니다. 아무리 가까운 사람이어도 말이죠. 그런 기분이 드는 날은 어떻게 해야 할까요?
누군가 나를 만질 때 조금이라도 불쾌한 기분이 들면 “싫어요. 만지지 마세요!”라고 말할 수 있어야 합니다. 반대로 누군가가 자신을 만져달라고 할 때도 마찬가지입니다. 싫다고 이야기하는 게 버릇없이 구는 것처럼 느껴지거나, 나쁜 아이가 되는 것처럼 느껴질지도 모르지만, 착한 아이도 필요한 상황에서는 언제든 싫다고 말할 수 있답니다.
주인공 클라라와 함께 싫을 땐 싫다고 말하는 연습을 해보세요. 내가 원하는 것과 원하지 않는 것을 분명하게 표현할 줄 아는 씩씩하고 용감한 어린이가 될 수 있을 거예요.</t>
        </is>
      </c>
      <c r="E57" t="inlineStr">
        <is>
          <t>다그마 가이슬러</t>
        </is>
      </c>
      <c r="F57" t="inlineStr">
        <is>
          <t>윌마</t>
        </is>
      </c>
      <c r="G57" t="inlineStr">
        <is>
          <t>2026-06-30</t>
        </is>
      </c>
      <c r="H57" t="n">
        <v>16800</v>
      </c>
      <c r="I57" t="n">
        <v>15120</v>
      </c>
      <c r="J57" t="n">
        <v>10</v>
      </c>
      <c r="K57" t="n">
        <v>0</v>
      </c>
      <c r="L57" t="n">
        <v>507</v>
      </c>
      <c r="M57" t="n">
        <v>9.85</v>
      </c>
      <c r="N57" t="inlineStr">
        <is>
          <t>유아(0~7세)</t>
        </is>
      </c>
      <c r="O57" t="inlineStr">
        <is>
          <t>https://contents.kyobobook.co.kr/sih/fit-in/200x0/pdt/9791199757653.jpg</t>
        </is>
      </c>
    </row>
    <row r="58">
      <c r="A58" t="inlineStr">
        <is>
          <t>S000219976173</t>
        </is>
      </c>
      <c r="B58" t="n">
        <v>57</v>
      </c>
      <c r="C58" t="inlineStr">
        <is>
          <t>EBS 수능완성 국어영역 독서·문학·화법과 작문(2026)(2027 수능대비)</t>
        </is>
      </c>
      <c r="D58"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58" t="inlineStr">
        <is>
          <t>EBS교육방송 편집부</t>
        </is>
      </c>
      <c r="F58" t="inlineStr">
        <is>
          <t>한국교육방송공사(EBSi)</t>
        </is>
      </c>
      <c r="G58" t="inlineStr">
        <is>
          <t>2026-05-22</t>
        </is>
      </c>
      <c r="H58" t="n">
        <v>15600</v>
      </c>
      <c r="I58" t="n">
        <v>14040</v>
      </c>
      <c r="J58" t="n">
        <v>10</v>
      </c>
      <c r="K58" t="n">
        <v>0</v>
      </c>
      <c r="L58" t="n">
        <v>128</v>
      </c>
      <c r="M58" t="n">
        <v>9.869999999999999</v>
      </c>
      <c r="N58" t="inlineStr">
        <is>
          <t>중/고등참고서</t>
        </is>
      </c>
      <c r="O58" t="inlineStr">
        <is>
          <t>https://contents.kyobobook.co.kr/sih/fit-in/200x0/pdt/9791143600509.jpg</t>
        </is>
      </c>
    </row>
    <row r="59">
      <c r="A59" t="inlineStr">
        <is>
          <t>S000219976176</t>
        </is>
      </c>
      <c r="B59" t="n">
        <v>58</v>
      </c>
      <c r="C59" t="inlineStr">
        <is>
          <t>EBS 수능완성 수학영역 수학1·수학2·확률과 통계(2026)(2027 수능대비)</t>
        </is>
      </c>
      <c r="D59"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59" t="inlineStr">
        <is>
          <t>EBS교육방송 편집부</t>
        </is>
      </c>
      <c r="F59" t="inlineStr">
        <is>
          <t>한국교육방송공사(EBSi)</t>
        </is>
      </c>
      <c r="G59" t="inlineStr">
        <is>
          <t>2026-05-22</t>
        </is>
      </c>
      <c r="H59" t="n">
        <v>14400</v>
      </c>
      <c r="I59" t="n">
        <v>12960</v>
      </c>
      <c r="J59" t="n">
        <v>10</v>
      </c>
      <c r="K59" t="n">
        <v>0</v>
      </c>
      <c r="L59" t="n">
        <v>74</v>
      </c>
      <c r="M59" t="n">
        <v>9.9</v>
      </c>
      <c r="N59" t="inlineStr">
        <is>
          <t>중/고등참고서</t>
        </is>
      </c>
      <c r="O59" t="inlineStr">
        <is>
          <t>https://contents.kyobobook.co.kr/sih/fit-in/200x0/pdt/9791143600530.jpg</t>
        </is>
      </c>
    </row>
    <row r="60">
      <c r="A60" t="inlineStr">
        <is>
          <t>S000214567966</t>
        </is>
      </c>
      <c r="B60" t="n">
        <v>59</v>
      </c>
      <c r="C60" t="inlineStr">
        <is>
          <t>EBS 윤혜정의 개념의 나비효과 입문 편 1: 문학</t>
        </is>
      </c>
      <c r="D60" t="inlineStr">
        <is>
          <t>윤혜정 선생님의 음성 지원되는 듯한 친절한 설명과 함께 한 강에 두 번씩 '오늘 꼭 알아야 하는 개념'을 통해 국어 공부에 꼭 필요한 개념들을 정리하고, 초성 퀴즈로 중요한 내용들을 한 번 더 확인한다. 학습한 개념들을 Quiz 형식의 문제를 통해 지문에 직접 적용해 보는 개념 적용 연습을 하고, 직접 기출문제들을 풀어 보면서 배운 개념이 실제 기출문제에는 어떻게 적용되는지 알고 실제 시험에 대비한다.</t>
        </is>
      </c>
      <c r="E60" t="inlineStr">
        <is>
          <t>윤혜정</t>
        </is>
      </c>
      <c r="F60" t="inlineStr">
        <is>
          <t>EBS한국교육방송공사</t>
        </is>
      </c>
      <c r="G60" t="inlineStr">
        <is>
          <t>2024-09-22</t>
        </is>
      </c>
      <c r="H60" t="n">
        <v>17000</v>
      </c>
      <c r="I60" t="n">
        <v>15300</v>
      </c>
      <c r="J60" t="n">
        <v>10</v>
      </c>
      <c r="K60" t="n">
        <v>0</v>
      </c>
      <c r="L60" t="n">
        <v>972</v>
      </c>
      <c r="M60" t="n">
        <v>9.880000000000001</v>
      </c>
      <c r="N60" t="inlineStr">
        <is>
          <t>중/고등참고서</t>
        </is>
      </c>
      <c r="O60" t="inlineStr">
        <is>
          <t>https://contents.kyobobook.co.kr/sih/fit-in/200x0/pdt/9788954786881.jpg</t>
        </is>
      </c>
    </row>
    <row r="61">
      <c r="A61" t="inlineStr">
        <is>
          <t>S000000620207</t>
        </is>
      </c>
      <c r="B61" t="n">
        <v>60</v>
      </c>
      <c r="C61" t="inlineStr">
        <is>
          <t>체호프 단편선</t>
        </is>
      </c>
      <c r="D61" t="inlineStr">
        <is>
          <t>푸시킨, 고골 등과 함께 러시아 문학의 황금시대라 불리는 19세기 단편문학을 주도한 체호프의 단편선이 민음사에서 출간되었다. 세계문학전집 70번으로 발간된 체호프의 작품집에는 국내에 처음으로 소개되는 단편소설 아홉 편-「공포」, 「베짱이」, 「드라마」, 「베로치카」, 「미녀」, 「거울」, 「내기」, 「티푸스」, 「주교」-과 체호프 식 소설 구조의 전형을 보여 주는 작품 「관리의 죽음」이 수록되었다. 이 작품들은 모두 다양한 인물 군상을 통해 사소한 일상사를 재현함으로써 삶의 본질과 아이러니를 포착해 내고 있다. 한편으론 유머를 통해 웃음을 유발하지만 그 이면에 인간이라면 누구나 피해갈 수 없는 비애감이 녹아들어, ‘인생의 진실과 아름다움을 시의 경지’에까지 끌어올린 수작들이다.</t>
        </is>
      </c>
      <c r="E61" t="inlineStr">
        <is>
          <t>안톤 체호프</t>
        </is>
      </c>
      <c r="F61" t="inlineStr">
        <is>
          <t>민음사</t>
        </is>
      </c>
      <c r="G61" t="inlineStr">
        <is>
          <t>2002-11-20</t>
        </is>
      </c>
      <c r="H61" t="n">
        <v>9000</v>
      </c>
      <c r="I61" t="n">
        <v>8100</v>
      </c>
      <c r="J61" t="n">
        <v>10</v>
      </c>
      <c r="K61" t="n">
        <v>0</v>
      </c>
      <c r="L61" t="n">
        <v>399</v>
      </c>
      <c r="M61" t="n">
        <v>9.75</v>
      </c>
      <c r="N61" t="inlineStr">
        <is>
          <t>소설</t>
        </is>
      </c>
      <c r="O61" t="inlineStr">
        <is>
          <t>https://contents.kyobobook.co.kr/sih/fit-in/200x0/pdt/9788937460708.jpg</t>
        </is>
      </c>
    </row>
    <row r="62">
      <c r="A62" t="inlineStr">
        <is>
          <t>S000220574505</t>
        </is>
      </c>
      <c r="B62" t="n">
        <v>61</v>
      </c>
      <c r="C62" t="inlineStr">
        <is>
          <t>김동희 세계관 호기심 환장 RPG</t>
        </is>
      </c>
      <c r="D62" t="inlineStr">
        <is>
          <t>73만 구독자의 사랑을 받고 있는 인기 유튜브 크리에이터 〈김동희 세계관〉의 대표 콘텐츠 〈환장RPG〉가 드디어 학습만화로 찾아왔다.
『김동희 세계관 호기심 환장 RPG』는 주인공 솧툌춋과 함께 게임 속 모험을 따라가며 다양한 과학의 원리를 발견하고, 교과 과정 속 과학 상식을 쉽고 재미있게 배우는 초등 과학 학습만화 시리즈다. 레벨을 올리고 퀘스트를 해결하는 과정에서 “세상에서 가장 긴 이름을 가진 동물은?”, “투명 인간으로 만들어주는 메타 물질이란?”, “챗봇의 뇌가 인간의 뇌 뉴런을 흉내내 만들어졌다고?”와 같은 재미있는 과학 궁금증을 자연스럽게 만나게 된다.
유튜브 원작 특유의 유쾌한 캐릭터들의 이야기와 예측할 수 없는 전개는 그대로 살리고, 초등 교과와 연결되는 과학 지식을 흥미로운 이야기 속에 녹여 아이들이 웃으며 읽는 사이 자연스럽게 과학 개념을 익힐 수 있도록 구성했다. 또한. 학습페이지 속 퀴즈와 다양한 읽을거리를 함께 수록해 문해력과 사고력을 키우는 즐거움까지 더했다.
게임을 좋아하는 아이도, 과학을 어려워하는 아이도 『김동희 세계관 호기심 환장 RPG』 시리즈와 함께라면 어느새 과학 퀘스트를 하나씩 클리어하며 배움의 즐거움을 경험하게 될 것이다.</t>
        </is>
      </c>
      <c r="E62" t="inlineStr">
        <is>
          <t>박종은</t>
        </is>
      </c>
      <c r="F62" t="inlineStr">
        <is>
          <t>아울북</t>
        </is>
      </c>
      <c r="G62" t="inlineStr">
        <is>
          <t>2026-07-29</t>
        </is>
      </c>
      <c r="H62" t="n">
        <v>16900</v>
      </c>
      <c r="I62" t="n">
        <v>15210</v>
      </c>
      <c r="J62" t="n">
        <v>10</v>
      </c>
      <c r="K62" t="n">
        <v>0</v>
      </c>
      <c r="L62" t="n">
        <v>0</v>
      </c>
      <c r="M62" t="n">
        <v>0</v>
      </c>
      <c r="N62" t="inlineStr">
        <is>
          <t>어린이(초등)</t>
        </is>
      </c>
      <c r="O62" t="inlineStr">
        <is>
          <t>https://contents.kyobobook.co.kr/sih/fit-in/200x0/pdt/9791176611114.jpg</t>
        </is>
      </c>
    </row>
    <row r="63">
      <c r="A63" t="inlineStr">
        <is>
          <t>S000219862150</t>
        </is>
      </c>
      <c r="B63" t="n">
        <v>62</v>
      </c>
      <c r="C63" t="inlineStr">
        <is>
          <t>말하지 않고 말하기</t>
        </is>
      </c>
      <c r="D63" t="inlineStr">
        <is>
          <t>오늘날 우리는 역사상 가장 많은 말을 주고받으며 살아간다. 스마트폰 하나로 지구 반대편과 실시간으로 소통하고, 인공지능은 유창한 문장으로 우리의 질문에 답한다. 그런데 역설적이게도, 우리는 그 어느 때보다 외롭고, 그 어느 때보다 관계에서 자주 실패한다. 말 잘하는 사람이 정작 가장 가까운 이와 소통하지 못하고, 논리적으로 완벽한 설명이 상대의 마음에 닿지 못하는 이유는 무엇일까. 소통이 이토록 어려운 것은, 우리가 소통의 본질을 잘못 이해하고 있기 때문이다.
소통은 메시지를 전달하는 행위가 아니다. 서로의 몸과 눈빛과 리듬이 얽혀 의미를 공동으로 구성하는, 살아 있는 상호작용의 과정이다. 소통에서 언어가 차지하는 비중은 7%에 불과하다. 나머지 93%는 터치, 눈맞춤, 표정, 침묵, 호흡의 리듬-말하지 않아도 느껴지는 것들이 채운다. 심리학자 비고츠키에 따르면, 우리는 소통하기에 존재하고 소통하기에 생각할 수 있다. 데카르트의 고전적인 명제 ‘나는 생각한다, 고로 존재한다’를 정면으로 뒤집는 ‘코페르니쿠스적 전환’이다. 즉, 우리는 소통하기에 존재한다.
AI 시대, 인간만이 지닌 비언어적 소통의 힘
감탄과 존중의 심리학을 위하여 제안하는 상호주관성의 원형
문화심리학자 김정운의 『말하지 않고 말하기』는 이 혁명적 전환에서 출발한다. 저자는 발달심리학자 비고츠키와 대니얼 스턴, 진화인류학자 토마셀로, 대화 분석을 창시한 사회학자 하비 색스 등의 연구를 종횡으로 엮으며 소통의 가장 근원적인 조건 여섯 가지를 제안한다. 이는 아기가 엄마의 손길을 처음 느끼는 순간부터 시작되어, 언어 습득과 자아 형성, 나아가 민주주의와 문명의 조건으로 확장되는 인간 상호작용의 전체 지도와 같다.
저자는 단지 심리학 이론을 설명하지 않는다. 각 개념을 현실과 충돌시키며 낯설고 예리한 각도로 세상과 인간을 읽어낸다. 오바마의 ‘6초간 침묵’이 왜 21세기 최고의 연설이 될 수 있었는지, 해리 할로의 70년 전 원숭이 실험이 증명한 정서적 유대의 중요성이 현재와 어떻게 연결되는지, 사이버스페이스에서는 왜 모두가 질투와 분노에 휩싸여 있는지-이런 질문들이 비고츠키, 피아제, 칸트 등 수많은 학자들의 견해와 맞닿으며 예상치 못한 깊이와 넓이로 전개된다.
책의 마지막에 이르러 저자는 제안한다. 우리가 감탄하고 감탄받는 상호주관적 경험-헤겔이 인정투쟁으로, 칸트가 숭고로 말하려 했던 바로 그것은 기계가 도달할 수 없는 영역이다. 인공지능이 인간의 언어를 완벽하게 흉내 내는 시대일수록, 우리에게 진짜 필요한 것은 더 유창한 말이 아니다. 바로 ‘존중의 사회문화적 맥락에서, 감탄으로 매개되는 인정받는 느낌’이다. 상호 존중이 사라진 사회에서 사람들은 끊임없이 비교하고, 쉽게 분노하며, 사소한 심리적 상처에도 깊이 흔들린다. 오늘날 우리에게 필요한 소통은 더 많은 정보도, 더 빠른 연결도 아닌 서로 감탄하는 상호주관적 경험의 회복이다. 사람이 살 만한 디지털 사회의 조건은 기술의 진보가 아니라, 감탄을 통해 서로를 인정받는 존재로 느끼게 하는 존중의 문법이다.
『말하지 않고 말하기』는 소통을 기술이 아닌 존재의 조건으로 재정의한 책이다. 이 책을 읽는 시간은 관계에서 자꾸 실패하는 사람들을 위한, 가장 근원적인 문화심리학 수업이 될 것이다.</t>
        </is>
      </c>
      <c r="E63" t="inlineStr">
        <is>
          <t>김정운</t>
        </is>
      </c>
      <c r="F63" t="inlineStr">
        <is>
          <t>21세기북스</t>
        </is>
      </c>
      <c r="G63" t="inlineStr">
        <is>
          <t>2026-05-11</t>
        </is>
      </c>
      <c r="H63" t="n">
        <v>24000</v>
      </c>
      <c r="I63" t="n">
        <v>21600</v>
      </c>
      <c r="J63" t="n">
        <v>10</v>
      </c>
      <c r="K63" t="n">
        <v>0</v>
      </c>
      <c r="L63" t="n">
        <v>121</v>
      </c>
      <c r="M63" t="n">
        <v>9.68</v>
      </c>
      <c r="N63" t="inlineStr">
        <is>
          <t>인문</t>
        </is>
      </c>
      <c r="O63" t="inlineStr">
        <is>
          <t>https://contents.kyobobook.co.kr/sih/fit-in/200x0/pdt/9791173579721.jpg</t>
        </is>
      </c>
    </row>
    <row r="64">
      <c r="A64" t="inlineStr">
        <is>
          <t>S000001020219</t>
        </is>
      </c>
      <c r="B64" t="n">
        <v>63</v>
      </c>
      <c r="C64" t="inlineStr">
        <is>
          <t>해커스 토익 기출 VOCA(보카)</t>
        </is>
      </c>
      <c r="D64" t="inlineStr">
        <is>
          <t>1. 토익 기출 보카 30일 완성!
2. 주제별 연상암기로 쉽고 재미있게 단어 학습
3. 최신 기출 단어 및 출제포인트 수록
4. 목표 점수대별 필수 단어로 맞춤 학습 가능
5. 출제율 높은 핵심 단어만 골라 효율적으로 학습
6. 토익 신유형 대비 〈토익 필수 이디엄 표현〉 수록
7. 실전 감각을 키우는 토익 실전문제 13회분 제공(교재 3회+온라인 10회)</t>
        </is>
      </c>
      <c r="E64" t="inlineStr">
        <is>
          <t>David Cho</t>
        </is>
      </c>
      <c r="F64" t="inlineStr">
        <is>
          <t>해커스어학연구소</t>
        </is>
      </c>
      <c r="G64" t="inlineStr">
        <is>
          <t>2026-01-05</t>
        </is>
      </c>
      <c r="H64" t="n">
        <v>12900</v>
      </c>
      <c r="I64" t="n">
        <v>11610</v>
      </c>
      <c r="J64" t="n">
        <v>10</v>
      </c>
      <c r="K64" t="n">
        <v>0</v>
      </c>
      <c r="L64" t="n">
        <v>2387</v>
      </c>
      <c r="M64" t="n">
        <v>9.699999999999999</v>
      </c>
      <c r="N64" t="inlineStr">
        <is>
          <t>외국어</t>
        </is>
      </c>
      <c r="O64" t="inlineStr">
        <is>
          <t>https://contents.kyobobook.co.kr/sih/fit-in/200x0/pdt/9788965422785.jpg</t>
        </is>
      </c>
    </row>
    <row r="65">
      <c r="A65" t="inlineStr">
        <is>
          <t>S000216796440</t>
        </is>
      </c>
      <c r="B65" t="n">
        <v>64</v>
      </c>
      <c r="C65" t="inlineStr">
        <is>
          <t>큰별쌤 최태성의 별별한국사 시대별 기출문제집 한국사능력검정시험 심화(1,2,3급)</t>
        </is>
      </c>
      <c r="D65" t="inlineStr">
        <is>
          <t>〈시대별 기출문제집 심화〉는 〈기출 500제 심화〉와 함께 여러분의 합격을 도울 또 하나의 기출문제집입니다. 큰별쌤이 엄선한 기출문제 792문항을 시대순, 주제별로 구성하였고, 기출 선택지를 자연스럽게 익힐 수 있도록 기출 선택지만 따로 모아 문제를 만들었습니다. 큰별쌤의 한능검 심화 교재인 〈심화 상〉, 〈심화 하〉와 함께 사용하면 더욱 좋습니다.
* 제시된 이미지는 책의 뒷표지입니다. 
많은 사람들이 쓰는 책의 앞표지에 선한 메시지가 담기면 좋겠다는 큰별쌤의 뜻에 따라 〈큰별쌤 최태성의 별별한국사 시대별 기출문제집 한국사능력검정시험 심화〉의 앞표지는 1억 원 기부를 통해 사랑의 열매 '아너 소사이어티'에 가입되도록 함께 지원해 주신 최태성 1, 2TV 별님들로 구성되었습니다.</t>
        </is>
      </c>
      <c r="E65" t="inlineStr">
        <is>
          <t>최태성</t>
        </is>
      </c>
      <c r="F65" t="inlineStr">
        <is>
          <t>이투스북</t>
        </is>
      </c>
      <c r="G65" t="inlineStr">
        <is>
          <t>2025-06-11</t>
        </is>
      </c>
      <c r="H65" t="n">
        <v>19700</v>
      </c>
      <c r="I65" t="n">
        <v>17730</v>
      </c>
      <c r="J65" t="n">
        <v>10</v>
      </c>
      <c r="K65" t="n">
        <v>0</v>
      </c>
      <c r="L65" t="n">
        <v>175</v>
      </c>
      <c r="M65" t="n">
        <v>9.94</v>
      </c>
      <c r="N65" t="inlineStr">
        <is>
          <t>인문</t>
        </is>
      </c>
      <c r="O65" t="inlineStr">
        <is>
          <t>https://contents.kyobobook.co.kr/sih/fit-in/200x0/pdt/9791138932943.jpg</t>
        </is>
      </c>
    </row>
    <row r="66">
      <c r="A66" t="inlineStr">
        <is>
          <t>S000000828225</t>
        </is>
      </c>
      <c r="B66" t="n">
        <v>65</v>
      </c>
      <c r="C66" t="inlineStr">
        <is>
          <t>불안(리커버:K)</t>
        </is>
      </c>
      <c r="D66" t="inlineStr">
        <is>
          <t>우리나라 독자들이 가장 사랑하는 작가 중 한 명인 알랭 드 보통의 인문철학 에세이 《불안》이 국내 판매 40만부를 기념해 교보문고 특별 리커버판으로 새롭게 선보인다. 2005년 한국어 초판 출간 이래 20여년 가까이 꾸준히 사랑받아온 이 책은 현대인의 욕망과 불안 심리에 대한 첨예하고 날카로운 통찰력과 해법을 담아 배우 장동건, 방송인 김제동, 천문학자 심재경 등 유명인과 지식인들이 추천하는 필독서로 잘 알려져 왔다. 
특별히 이번 리커버판에는 러시아 출신의 미국 화가 마크 로스코(Mark Rothko)의 추상화 작품 〈No. 3 / No. 13, 1949〉를 표지에 사용해 현대인의 미묘하고 불안한 심리를 전면에 드러내는 데 포인트를 두었다. 강렬한 색상이 불러일으키는 다양한 감정들을 통해 독자들이 저마다의 방식으로 ‘불안’이라는 인문학적 테마를 자유롭게 해석하고 사유하도록 이끌었다. 또한 작가의 친필 메시지를 인쇄본으로 함께 수록해 특별판으로서 소장 가치를 높였다. 이번 특별판은 교보문고 온·오프라인에서만 한정 기간동안 만날 수 있다.</t>
        </is>
      </c>
      <c r="E66" t="inlineStr">
        <is>
          <t>알랭 드 보통</t>
        </is>
      </c>
      <c r="F66" t="inlineStr">
        <is>
          <t>은행나무</t>
        </is>
      </c>
      <c r="G66" t="inlineStr">
        <is>
          <t>2012-01-04</t>
        </is>
      </c>
      <c r="H66" t="n">
        <v>18000</v>
      </c>
      <c r="I66" t="n">
        <v>16200</v>
      </c>
      <c r="J66" t="n">
        <v>10</v>
      </c>
      <c r="K66" t="n">
        <v>0</v>
      </c>
      <c r="L66" t="n">
        <v>1236</v>
      </c>
      <c r="M66" t="n">
        <v>9.58</v>
      </c>
      <c r="N66" t="inlineStr">
        <is>
          <t>시/에세이</t>
        </is>
      </c>
      <c r="O66" t="inlineStr">
        <is>
          <t>https://contents.kyobobook.co.kr/sih/fit-in/200x0/pdt/9788956605593.jpg</t>
        </is>
      </c>
    </row>
    <row r="67">
      <c r="A67" t="inlineStr">
        <is>
          <t>S000000620316</t>
        </is>
      </c>
      <c r="B67" t="n">
        <v>66</v>
      </c>
      <c r="C67" t="inlineStr">
        <is>
          <t>브람스를 좋아하세요</t>
        </is>
      </c>
      <c r="D67" t="inlineStr">
        <is>
          <t>프랑수아즈 사강의 작품『브람스를 좋아하세요』. 전혀 다른 두 사랑 앞에서 방황하는 폴의 심리를 중심으로, 그녀와 사랑이라는 감정으로 연결된 로제와 시몽의 심리를 섬세하게 묘사하였다. 프랑스 문단의 '매력적인 작은 괴물'이라 불리는 사강이 스물넷의 나이에 쓴 이 작품은, 일상을 배경으로 난해하고 모호한 사랑의 감정을 진솔하게 그리고 있다.
실내장식가인 서른아홉의 폴은 오랫동안 함께 해온 연인 로제에게 완전히 익숙해져 앞으로 다른 사람을 사랑할 수 없을 거라고 생각한다. 하지만 폴과 달리, 구속을 싫어하는 로제는 마음이 내킬 때만 그녀를 만나고 다른 여자로부터 하룻밤의 즐거움을 찾는 것을 마다하지 않는다. 로제를 향한 폴의 일방적인 감정은 그녀에게 깊은 고독을 안겨준다. 
그러던 어느 날, 폴은 몽상가 같은 신비로운 분위기의 시몽과 만난다. 시몽은 폴에게 첫눈에 반해 적극적인 애정 공세를 펼치기 시작하고, 그런 시몽의 태도에 폴은 불안감과 신선한 호기심을 느낀다. 젊고 순수한 청년인 시몽으로 인해 폴은 행복을 느끼지만, 그녀가 세월을 통해 깨달은 감정의 덧없음은 시몽의 헌신적인 사랑 앞에서도 그 끝을 예감하는데….</t>
        </is>
      </c>
      <c r="E67" t="inlineStr">
        <is>
          <t>프랑수아즈 사강</t>
        </is>
      </c>
      <c r="F67" t="inlineStr">
        <is>
          <t>민음사</t>
        </is>
      </c>
      <c r="G67" t="inlineStr">
        <is>
          <t>2008-05-02</t>
        </is>
      </c>
      <c r="H67" t="n">
        <v>10000</v>
      </c>
      <c r="I67" t="n">
        <v>9000</v>
      </c>
      <c r="J67" t="n">
        <v>10</v>
      </c>
      <c r="K67" t="n">
        <v>0</v>
      </c>
      <c r="L67" t="n">
        <v>1202</v>
      </c>
      <c r="M67" t="n">
        <v>9.57</v>
      </c>
      <c r="N67" t="inlineStr">
        <is>
          <t>소설</t>
        </is>
      </c>
      <c r="O67" t="inlineStr">
        <is>
          <t>https://contents.kyobobook.co.kr/sih/fit-in/200x0/pdt/9788937461798.jpg</t>
        </is>
      </c>
    </row>
    <row r="68">
      <c r="A68" t="inlineStr">
        <is>
          <t>S000220566745</t>
        </is>
      </c>
      <c r="B68" t="n">
        <v>67</v>
      </c>
      <c r="C68" t="inlineStr">
        <is>
          <t>지푸라기 왕관을 쓴 여자</t>
        </is>
      </c>
      <c r="D68" t="inlineStr">
        <is>
          <t>“박상영이 칼을 뽑았다” - 김은희(드라마 작가)
“이 소설의 사랑은 망해도 너무 망했다” - 심은경(배우)
소설가 박상영이 데뷔 10년 차인 2026년 장편소설 《지푸라기 왕관을 쓴 여자》를 선보인다. 그는 젊은작가상 대상 및 신동엽문학상, 허균문학작가상 등을 수상하며 눈에 띄는 활동을 이어왔을 뿐 아니라, 부커상 국제 부문, 국제더블린문학상과 메디치상 후보에도 오르며 세계 문학 속 한국 문학의 자리를 넓혀온 주역이기도 하다. “개인사적 범주를 보편의 세계로 확장”(젊은작가상 심사평)하며, “낡은 관계와 관념을 무너뜨리는 혁신적 면모를 보여”(신동엽문학상 심사평)주는 작가로서 동세대 사랑과 고민을 정면으로 다루어왔던 그가, 처음으로 한국 현대 경제사의 여러 사건을 경유하는 미스터리 스릴러 장르의 소설에 도전한다.
《지푸라기 왕관을 쓴 여자》는 방화 살인 사건에 얽힌 비밀을 푸는 미스터리 형식에 충실하다. 또한 70년 간의 한국 현대 경제사를 관통하며 우리 사회의 기형적 재벌 구조를 다루면서도, 인간 내면의 욕망과 사랑이 뒤얽혀 벌어지는 극적 드라마를 펼쳐 보인다. 이 소설은 자이니치 여성 ‘하나’가 요코하마에서 도시락을 팔던 어머니를 화재로 잃으며 시작된다. 어머니는 임종 직전 한국의 대기업 총수인 윤동주 회장을 찾아가라는 유언을 남기고, 모녀와 윤동주가 얽힌 사연이 점차 수면 위로 드러나며 그들 삶에 드리워진 거대한 그림자의 정체를 마주하게 된다. 이 소설의 추천사를 쓴 김은희 작가의 말처럼 “첫 장을 펼치는 것은 당신의 선택이다. 그러나 마지막 장을 덮는 순간까지 당신은 이 소설로부터 한순간도 도망칠 수 없을 것이다”.
“인간은 이기적인 동물이고, 대부분의 경우 철저히 손익에 따라 움직이지만, 때때로 타인을 위해 자신의 모든 것을 던져버리기도 합니다. 그 알 수 없는 아이러니에 대해, 아마도 ‘사랑’이라고 불릴 그 감정의 실체에 대해 다루고 싶었습니다.” - 저자 인터뷰 중에서</t>
        </is>
      </c>
      <c r="E68" t="inlineStr">
        <is>
          <t>박상영</t>
        </is>
      </c>
      <c r="F68" t="inlineStr">
        <is>
          <t>래빗홀</t>
        </is>
      </c>
      <c r="G68" t="inlineStr">
        <is>
          <t>2026-07-22</t>
        </is>
      </c>
      <c r="H68" t="n">
        <v>18800</v>
      </c>
      <c r="I68" t="n">
        <v>16920</v>
      </c>
      <c r="J68" t="n">
        <v>10</v>
      </c>
      <c r="K68" t="n">
        <v>0</v>
      </c>
      <c r="L68" t="n">
        <v>0</v>
      </c>
      <c r="M68" t="n">
        <v>0</v>
      </c>
      <c r="N68" t="inlineStr">
        <is>
          <t>소설</t>
        </is>
      </c>
      <c r="O68" t="inlineStr">
        <is>
          <t>https://contents.kyobobook.co.kr/sih/fit-in/200x0/pdt/9791168344044.jpg</t>
        </is>
      </c>
    </row>
    <row r="69">
      <c r="A69" t="inlineStr">
        <is>
          <t>S000220509953</t>
        </is>
      </c>
      <c r="B69" t="n">
        <v>68</v>
      </c>
      <c r="C69" t="inlineStr">
        <is>
          <t>푸른 사자 와니니 10: 초원으로 가는 길</t>
        </is>
      </c>
      <c r="D69" t="inlineStr">
        <is>
          <t>누적 100만 부 이상 판매되며 한국 아동문학을 대표하는 성장 서사로 자리매김한 ‘푸른 사자 와니니’ 시리즈가 마침내 대단원의 막을 내린다. 『푸른 사자 와니니 10: 초원으로 가는 길』은 평생의 벗을 잃은 깊은 상실 속에서도 무리를 이끌어야 하는 와니니 앞에 다시 찾아온 선택의 순간을 그린다. 성장한 딸들은 저마다 자신의 삶을 향해 첫걸음을 내딛고, 와니니는 누구도 대신할 수 없는 책임 앞에서 다시 한번 용기를 낸다. 어린 암사자였던 와니니가 진정한 우두머리로 성장하기까지의 여정을 완성하는 이야기이자, 10년 동안 와니니와 함께 자라 온 독자들에게 전하는 아름다운 작별 인사로서 오래도록 마음에 남을 감동과 여운을 전할 것이다. 
“한국 아동문학의 지평을 넓혀 준 작품” 
“문학사에 한 획을 긋는 역작”
쓸모없다는 이유로 무리에서 쫓겨난 어린 암사자가 
한 시대를 이끈 위대한 우두머리가 되기까지
10년의 여정을 매듭짓는 ‘푸른 사자 와니니’ 시리즈 열 번째 이야기
2015년 첫 권 출간 이후 10년, 어린이 독자들의 뜨거운 응원 속에 이어져 온 ‘푸른 사자 와니니’ 시리즈가 10권으로 완간을 맞았다. 초등학교 ‘한 학기 한 권 읽기’ 대표 베스트셀러로 꾸준히 사랑받은 이 시리즈는 2022년 IBBY(국제아동도서협의회)가 선정한 ‘전 세계 어린이가 함께 읽어야 할 책’과 한스 크리스티안 안데르센 상 아너리스트에 이름을 올렸으며, 2025년에는 “광활한 대자연을 배경으로 펼쳐지는 장대한 대서사” “한국 아동문학의 지평을 넓혀 준 문제작”이라는 평가와 함께 권정생문학상을 수상했다. 2026년 1월에는 동명의 뮤지컬이 가족 뮤지컬 최초로 한국문화예술위원회 공연예술창작산실 ‘올해의 신작’으로 선정되어 초연되었고, 이어 7월에는 공연 실황 영화가 전국 15개 CGV에서 상영되며 작품의 세계를 무대와 스크린으로 확장했다. 몸집이 작고 사냥 솜씨도 서툴러 무리에서 쫓겨났던 어린 암사자 와니니는 긴 여정을 거쳐 온 초원이 우러러보는 우두머리로 성장했다. 완결편은 와니니의 성장을 넘어, 곁의 존재들을 믿고 다음 세대에게 삶을 이어 주는 이야기를 담아내며 ‘우리 시대의 성장 서사’를 뜻깊게 완성한다.</t>
        </is>
      </c>
      <c r="E69" t="inlineStr">
        <is>
          <t>이현</t>
        </is>
      </c>
      <c r="F69" t="inlineStr">
        <is>
          <t>창비</t>
        </is>
      </c>
      <c r="G69" t="inlineStr">
        <is>
          <t>2026-07-10</t>
        </is>
      </c>
      <c r="H69" t="n">
        <v>13800</v>
      </c>
      <c r="I69" t="n">
        <v>12420</v>
      </c>
      <c r="J69" t="n">
        <v>10</v>
      </c>
      <c r="K69" t="n">
        <v>0</v>
      </c>
      <c r="L69" t="n">
        <v>5</v>
      </c>
      <c r="M69" t="n">
        <v>10</v>
      </c>
      <c r="N69" t="inlineStr">
        <is>
          <t>어린이(초등)</t>
        </is>
      </c>
      <c r="O69" t="inlineStr">
        <is>
          <t>https://contents.kyobobook.co.kr/sih/fit-in/200x0/pdt/9788936443542.jpg</t>
        </is>
      </c>
    </row>
    <row r="70">
      <c r="A70" t="inlineStr">
        <is>
          <t>S000220240694</t>
        </is>
      </c>
      <c r="B70" t="n">
        <v>69</v>
      </c>
      <c r="C70" t="inlineStr">
        <is>
          <t>영혼의 왈츠 1</t>
        </is>
      </c>
      <c r="D70" t="inlineStr">
        <is>
          <t>끝없이 확장되는 상상력과 거대한 질문으로 독자들을 사로잡아 온 베르나르 베르베르가 신작 『영혼의 왈츠』로 돌아왔다. 이번 작품에서 그는 죽음 이후의 세계, 전생, 기억, 자유 의지라는 자신만의 핵심 주제를 한층 더 거대한 스케일로 밀어붙인다. 세상에 종말이 다가오고 있다는 경고를 들은 외제니 톨레다노는 현재를 구하기 위해 과거의 삶들 속으로 들어가고, 그 여정은 무려 12만 년 전 인류 문명의 기원까지 거슬러 올라간다. 선사 시대에서 고대 문명, 그리고 오늘의 세계에 이르기까지, 『영혼의 왈츠』는 문명의 빛을 지키려는 힘과 인류를 다시 야만의 어둠으로 끌어내리려는 힘의 오래된 충돌을 그려 낸다. 인간은 반복되는 파국 앞에서 끝내 다른 미래를 선택할 수 있는가. 『영혼의 왈츠』는 이 질문을 가장 베르베르다운 상상력으로 펼쳐 보이는 거대한 모험이자, 문명의 종말과 구원을 함께 묻는 압도적인 판타지다.</t>
        </is>
      </c>
      <c r="E70" t="inlineStr">
        <is>
          <t>베르나르 베르베르</t>
        </is>
      </c>
      <c r="F70" t="inlineStr">
        <is>
          <t>열린책들</t>
        </is>
      </c>
      <c r="G70" t="inlineStr">
        <is>
          <t>2026-06-24</t>
        </is>
      </c>
      <c r="H70" t="n">
        <v>18000</v>
      </c>
      <c r="I70" t="n">
        <v>16200</v>
      </c>
      <c r="J70" t="n">
        <v>10</v>
      </c>
      <c r="K70" t="n">
        <v>0</v>
      </c>
      <c r="L70" t="n">
        <v>134</v>
      </c>
      <c r="M70" t="n">
        <v>9.75</v>
      </c>
      <c r="N70" t="inlineStr">
        <is>
          <t>소설</t>
        </is>
      </c>
      <c r="O70" t="inlineStr">
        <is>
          <t>https://contents.kyobobook.co.kr/sih/fit-in/200x0/pdt/9788932925783.jpg</t>
        </is>
      </c>
    </row>
    <row r="71">
      <c r="A71" t="inlineStr">
        <is>
          <t>S000220097124</t>
        </is>
      </c>
      <c r="B71" t="n">
        <v>70</v>
      </c>
      <c r="C71" t="inlineStr">
        <is>
          <t>리치먼드힐의 이층 버스</t>
        </is>
      </c>
      <c r="D71" t="inlineStr">
        <is>
          <t>캐나다의 조용한 마을 리치먼드힐. 이 작고 조용한 도시에 한국인 부부 민정과 철수, 아들 타미가 살고 있다. 비가 쏟아지던 어느 여름날, 예상치 못한 사고로 타미가 혼수상태에 빠지게 된다. 그렇게 절망하던 민정 앞에 수상한 이층 버스 한 대가 멈춰선다. 
버스에서 내린 민정은 남편 철수를 처음 만난 20살의 모습으로 돌아간 자신의 모습을 발견한다. 젊은 시절로 돌아가 철수와의 즐거운 시간을 보내고 난 후, 정신을 차려 보니 다시 타미의 병원 앞이다. 이후 민정은 계속해서 이층 버스를 타고 과거로 향하고, 그곳에서 자신의 상처와 기억에 맞닿으며 결정적인 선택을 하게 된다. 민정은 어디로 향하게 될까? 자신과 타미의 삶을 바꿀 수 있을까? 
캐나다에서 거주하며, 이민자의 시선을 담아내고 싶었던 이경진 작가의 첫 장편소설 《리치먼드힐의 이층 버스》. 이 소설은 우리 모두 한번쯤 떠올려 보았을 만한 질문을 던진다. 후회하지 않는 선택이 있을까? 과거를 바꿀 수 있다면 어떤 선택을 할까? 동시에 작가 특유의 섬세한 묘사와 예상을 뒤엎는 전개로 독자들이 느껴보지 못했던 새로운 감동을 선사한다. 《리치먼드힐의 이층 버스》는 마음이 무뎌진 이들에겐 진실한 감동을, 인생의 무게에 지친 이들에겐 따듯한 치유를 건네줄 것이다.</t>
        </is>
      </c>
      <c r="E71" t="inlineStr">
        <is>
          <t>이경진</t>
        </is>
      </c>
      <c r="F71" t="inlineStr">
        <is>
          <t>북플레저</t>
        </is>
      </c>
      <c r="G71" t="inlineStr">
        <is>
          <t>2026-06-10</t>
        </is>
      </c>
      <c r="H71" t="n">
        <v>19000</v>
      </c>
      <c r="I71" t="n">
        <v>17100</v>
      </c>
      <c r="J71" t="n">
        <v>10</v>
      </c>
      <c r="K71" t="n">
        <v>0</v>
      </c>
      <c r="L71" t="n">
        <v>152</v>
      </c>
      <c r="M71" t="n">
        <v>9.880000000000001</v>
      </c>
      <c r="N71" t="inlineStr">
        <is>
          <t>소설</t>
        </is>
      </c>
      <c r="O71" t="inlineStr">
        <is>
          <t>https://contents.kyobobook.co.kr/sih/fit-in/200x0/pdt/9791124038499.jpg</t>
        </is>
      </c>
    </row>
    <row r="72">
      <c r="A72" t="inlineStr">
        <is>
          <t>S000219011136</t>
        </is>
      </c>
      <c r="B72" t="n">
        <v>71</v>
      </c>
      <c r="C72" t="inlineStr">
        <is>
          <t>디딤돌 초등 수학 기본+응용 3-2(2026)</t>
        </is>
      </c>
      <c r="D72" t="inlineStr">
        <is>
          <t>디딤돌 초등수학 기본+응용은 수학을 제대로 공부할 수 있도록 수학적 관점에서 개념을 정리하였습니다. 
새 교육과정의 신경향 문제 유형들을 반영하여 창의력을 키울 수 있습니다.
또한, 개념을 수학적 관점에서 이해할 수 있는 문제, 수학적 사고력을 기를 수 있는 문제들을 담았습니다.
서술형 문제를 학습할 수 있는 〈실력 보강 자료집〉을 별도 구성하여 서술형 대비나 시험대비에 활용하실 수 있도록 하였습니다.</t>
        </is>
      </c>
      <c r="E72" t="inlineStr">
        <is>
          <t>디딤돌 편집부</t>
        </is>
      </c>
      <c r="F72" t="inlineStr">
        <is>
          <t>디딤돌</t>
        </is>
      </c>
      <c r="G72" t="inlineStr">
        <is>
          <t>2026-01-15</t>
        </is>
      </c>
      <c r="H72" t="n">
        <v>17000</v>
      </c>
      <c r="I72" t="n">
        <v>15300</v>
      </c>
      <c r="J72" t="n">
        <v>10</v>
      </c>
      <c r="K72" t="n">
        <v>0</v>
      </c>
      <c r="L72" t="n">
        <v>90</v>
      </c>
      <c r="M72" t="n">
        <v>9.82</v>
      </c>
      <c r="N72" t="inlineStr">
        <is>
          <t>초등참고서</t>
        </is>
      </c>
      <c r="O72" t="inlineStr">
        <is>
          <t>https://contents.kyobobook.co.kr/sih/fit-in/200x0/pdt/9788926167458.jpg</t>
        </is>
      </c>
    </row>
    <row r="73">
      <c r="A73" t="inlineStr">
        <is>
          <t>S000214736577</t>
        </is>
      </c>
      <c r="B73" t="n">
        <v>72</v>
      </c>
      <c r="C73" t="inlineStr">
        <is>
          <t>EBS 윤혜정의 개념의 나비효과 입문 편 2: 독서·문법(2026)</t>
        </is>
      </c>
      <c r="D73" t="inlineStr">
        <is>
          <t>윤혜정 선생님의 음성 지원되는 듯한 친절한 설명과 함께 한 강에 두 번씩 '오늘 꼭 알아야 하는 개념'으로 키우는 국어의 기초 체력!
3단계 Step으로 시작하는 국어 개념 공부의 첫걸음
▶Step1 개념 Hi
오늘의 개념을 통해 국어 공부에 꼭 필요한 개념들을 정리하고, 초성 퀴즈로 중요한 내용들을 한 번 더 확인!
▶Step2 개념 Quiz
Step 1에서 학습한 개념들을 Quiz 형식의 문제를 통해 지문에 직접 적용해 보는 개념 적용 연습!
▶Step3 개념 Jump
직접 기출문제들을 풀어 보면서 배운 개념이 실제 기출문제에는 어떻게 적용되는지 알고 실제 시험에 대비!</t>
        </is>
      </c>
      <c r="E73" t="inlineStr">
        <is>
          <t>윤혜정</t>
        </is>
      </c>
      <c r="F73" t="inlineStr">
        <is>
          <t>EBS한국교육방송공사</t>
        </is>
      </c>
      <c r="G73" t="inlineStr">
        <is>
          <t>2024-10-31</t>
        </is>
      </c>
      <c r="H73" t="n">
        <v>17000</v>
      </c>
      <c r="I73" t="n">
        <v>15300</v>
      </c>
      <c r="J73" t="n">
        <v>10</v>
      </c>
      <c r="K73" t="n">
        <v>0</v>
      </c>
      <c r="L73" t="n">
        <v>574</v>
      </c>
      <c r="M73" t="n">
        <v>9.85</v>
      </c>
      <c r="N73" t="inlineStr">
        <is>
          <t>중/고등참고서</t>
        </is>
      </c>
      <c r="O73" t="inlineStr">
        <is>
          <t>https://contents.kyobobook.co.kr/sih/fit-in/200x0/pdt/9788954787413.jpg</t>
        </is>
      </c>
    </row>
    <row r="74">
      <c r="A74" t="inlineStr">
        <is>
          <t>S000220524050</t>
        </is>
      </c>
      <c r="B74" t="n">
        <v>73</v>
      </c>
      <c r="C74" t="inlineStr">
        <is>
          <t>2027 유휘운 행정법총론 요약노트+기출문제(요플)</t>
        </is>
      </c>
      <c r="D74" t="inlineStr">
        <is>
          <t>『2027 유휘운 행정법총론 요약노트+기출문제(요.플.)』은 2027년 9급·7급 공무원, 소방, 군무원 행정법 시험을 대비한 단권화 교재이다. 좌측의 ‘요약노트’와 우측의 ‘기출문제(OX 및 4지선다)’를 1:1로 매칭했으며, 지난 20년간 출제된 전 시행처 기출지문 약 2만 개 중 중복을 제거한 4,900개 지문을 수록하였다. 개정판에서는 최신 기출과 최신 판례, 개정법령을 충실히 반영하고 총 770개 지문을 추가·변경함으로써 학습의 최신성과 정확성을 높이고자 하였다.
또한 2025년 국가직 적중에 이어 2026년 소방직에서도 공무원 수험서 중 유일하게 적중(오답률 TOP2 킬러지문)한 미기출 예상 지문들 역시 새롭게 리뉴얼했다. 무엇보다 이번 개정판에서는 ‘한 줄 코멘트’를 신설하여 모든 틀린 지문에 틀린 이유와 옳은 형태를 한 줄로 콤팩트하게 제공함으로써 보다 선명하고 효율적인 학습이 가능하도록 하였다.
별책 〈요트플러스 키워드 해설집〉(요.키.)에는 요.플.에 수록된 전 지문의 키워드와 끊어 읽을 부분을 표시하고, 틀린 지문과 바른 지문을 좌우로 비교해 제시하였다.
이 밖에도 전문과목 강화와 문항 수 증가에 철저히 대비할 수 있도록 플러스원 지문 모음(플지모)과 조문집을 QR 자료로 제공하며, 기능을 업그레이드한 ‘행.운.(행정법은 유휘운) APP’을 통해 시간과 장소에 구애 없이 반복 학습할 수 있도록 하였다.</t>
        </is>
      </c>
      <c r="E74" t="inlineStr">
        <is>
          <t>유휘운</t>
        </is>
      </c>
      <c r="F74" t="inlineStr">
        <is>
          <t>모두공북스</t>
        </is>
      </c>
      <c r="G74" t="inlineStr">
        <is>
          <t>2026-07-27</t>
        </is>
      </c>
      <c r="H74" t="n">
        <v>37000</v>
      </c>
      <c r="I74" t="n">
        <v>33300</v>
      </c>
      <c r="J74" t="n">
        <v>10</v>
      </c>
      <c r="K74" t="n">
        <v>0</v>
      </c>
      <c r="L74" t="n">
        <v>0</v>
      </c>
      <c r="M74" t="n">
        <v>0</v>
      </c>
      <c r="N74" t="inlineStr">
        <is>
          <t>취업/수험서</t>
        </is>
      </c>
      <c r="O74" t="inlineStr">
        <is>
          <t>https://contents.kyobobook.co.kr/sih/fit-in/200x0/pdt/9791173603914.jpg</t>
        </is>
      </c>
    </row>
    <row r="75">
      <c r="A75" t="inlineStr">
        <is>
          <t>S000220350342</t>
        </is>
      </c>
      <c r="B75" t="n">
        <v>74</v>
      </c>
      <c r="C75" t="inlineStr">
        <is>
          <t>사랑의 기술</t>
        </is>
      </c>
      <c r="D75" t="inlineStr">
        <is>
          <t>1956년 첫 출간 이후 34개 이상의 언어로 번역되며 전 세계 수백만 독자의 삶을 바꾼 현대 인문학의 불멸의 고전, 에리히 프롬의 《사랑의 기술》이 출간 70주년을 맞이했다. 1976년 국내 초역을 선보이며 한국 인문 출판의 한 축을 담당해온 문예출판사는 한국어판 출간 50주년을 기념하여 전면 개정판을 출간했다. 
문예출판사의 이번 개정판은 반세기에 걸쳐 축적된 편집 경험과 시대적 감각을 집약해 완성한 결정판이다. 기존 번역을 전면 재검토하고 현대 독자의 언어 감각에 맞게 새롭게 번역하여, 70년 전의 거리감 대신 오늘날의 고민에 답하는 ‘살아 있는 텍스트’를 구현해냈다. 특히 인문·사회과학 전문 번역가 강주헌의 손끝에서 현대적인 언어로 새롭게 탄생한 이번 결정판은 고전의 깊이를 유지하면서도 탁월한 가독성을 자랑한다. 
우리는 흔히 사랑을 ‘적절한 상대를 만나면 자연스럽게 생겨나는 감정’이라고 생각한다. 그러나 프롬은 이러한 통념에 정면으로 이의를 제기한다. 사랑은 수동적인 감정이 아니라, 음악이나 의학처럼 이론과 훈련, 실천이 필요한 하나의 ‘기술(art)’이다. 사랑의 실패는 운이 없어서가 아니라 사랑할 줄 아는 능력을 기르지 못했기 때문이라는 그의 혁명적 제안은, 관계의 생성과 소멸이 빨라진 오늘날 더욱 유효하다. 데이팅 앱과 SNS로 관계는 쉬워졌으나 고독은 깊어진 오늘날, 사랑을 ‘우연한 감정’이 아닌 ‘배우고 익혀야 하는 능력’으로 규정한 프롬의 통찰은 디지털 시대의 독자들에게 더욱 절실하고 강력한 울림을 전한다. 또한 사랑을 소유가 아닌 성장으로 이해했던 에리히 프롬의 메시지는 진정한 관계를 갈망하는 이들에게 깊고 성숙한 삶으로 나아가는 확실한 이정표가 되어줄 것이다.</t>
        </is>
      </c>
      <c r="E75" t="inlineStr">
        <is>
          <t>에리히 프롬</t>
        </is>
      </c>
      <c r="F75" t="inlineStr">
        <is>
          <t>문예출판사</t>
        </is>
      </c>
      <c r="G75" t="inlineStr">
        <is>
          <t>2026-07-10</t>
        </is>
      </c>
      <c r="H75" t="n">
        <v>18800</v>
      </c>
      <c r="I75" t="n">
        <v>16920</v>
      </c>
      <c r="J75" t="n">
        <v>10</v>
      </c>
      <c r="K75" t="n">
        <v>0</v>
      </c>
      <c r="L75" t="n">
        <v>5</v>
      </c>
      <c r="M75" t="n">
        <v>10</v>
      </c>
      <c r="N75" t="inlineStr">
        <is>
          <t>인문</t>
        </is>
      </c>
      <c r="O75" t="inlineStr">
        <is>
          <t>https://contents.kyobobook.co.kr/sih/fit-in/200x0/pdt/9788931027068.jpg</t>
        </is>
      </c>
    </row>
    <row r="76">
      <c r="A76" t="inlineStr">
        <is>
          <t>S000220307596</t>
        </is>
      </c>
      <c r="B76" t="n">
        <v>75</v>
      </c>
      <c r="C76" t="inlineStr">
        <is>
          <t>달러구트 꿈 백화점 0</t>
        </is>
      </c>
      <c r="D76" t="inlineStr">
        <is>
          <t>첫 출간 이후 전 세계 수백만 독자들을 사로잡은 초대형 베스트셀러, ‘달러구트 꿈 백화점’ 시리즈가 마침내 그 마법 같은 여정의 마침표를 찍는다. 수많은 독자가 오랫동안 기다려온 이번 신간 《달러구트 꿈 백화점 0 : 달러구트와 양치기 소년 이야기》는 베일에 싸여 있던 ‘꿈 백화점’의 태동기를 다룬 프리퀄이자 시리즈의 대단원을 장식할 최종장으로, 전작으로부터 50년 전으로 거슬러 올라가 젊은 달러구트의 모험과 성장의 이야기를 들려준다. 매일 밤 사람들에게 평온하고 행복한 잠을 선물하는 신비로운 꿈 가게, 그리고 이 특별한 공간의 존경받는 주인장 달러구트의 과거는 과연 어떤 모습이었을까?
꿈과 잠을 가장 가치 있게 여기는 마을에서, 역설적이게도 지독한 ‘불면증’에 시달리는 19세 청년 달러구트는 엄마의 실종과 막대한 빚이라는 절박한 상황에 처한다. 무사히 엄마를 찾고 가게를 지키기 위해 동분서주하는 달러구트 앞에 불면증을 단숨에 치료해준다는 ‘양 세는 꿈’이 등장하고, 꿈속에서 만난 ‘양치기 소년’은 달러구트에게 알 수 없는 질문을 던진다. 하루아침에 사라진 엄마는 도대체 어디로 간 것일까? 그리고, 달러구트를 괴롭히는 불면증의 ‘진짜’ 이유는 무엇일까?
지금으로서는 상상하기 어려운 달러구트의 철부지 같은 모습부터 반가운 인물들의 젊은 시절을 엿보는 즐거움까지, 기발하고 매혹적인 시리즈의 가장 완벽한 피날레이자 우리의 밤을 다시 한번 따스하게 채워줄, 달러구트의 처음이자 마지막 이야기 속으로 떠나보자.</t>
        </is>
      </c>
      <c r="E76" t="inlineStr">
        <is>
          <t>이미예</t>
        </is>
      </c>
      <c r="F76" t="inlineStr">
        <is>
          <t>팩토리나인</t>
        </is>
      </c>
      <c r="G76" t="inlineStr">
        <is>
          <t>2026-07-01</t>
        </is>
      </c>
      <c r="H76" t="n">
        <v>17800</v>
      </c>
      <c r="I76" t="n">
        <v>16020</v>
      </c>
      <c r="J76" t="n">
        <v>10</v>
      </c>
      <c r="K76" t="n">
        <v>0</v>
      </c>
      <c r="L76" t="n">
        <v>154</v>
      </c>
      <c r="M76" t="n">
        <v>9.92</v>
      </c>
      <c r="N76" t="inlineStr">
        <is>
          <t>소설</t>
        </is>
      </c>
      <c r="O76" t="inlineStr">
        <is>
          <t>https://contents.kyobobook.co.kr/sih/fit-in/200x0/pdt/9791124575178.jpg</t>
        </is>
      </c>
    </row>
    <row r="77">
      <c r="A77" t="inlineStr">
        <is>
          <t>S000220307771</t>
        </is>
      </c>
      <c r="B77" t="n">
        <v>76</v>
      </c>
      <c r="C77" t="inlineStr">
        <is>
          <t>테오</t>
        </is>
      </c>
      <c r="D77" t="inlineStr">
        <is>
          <t>출간 즉시 전 세계를 사로잡은 “바로 그 하얀 책”, 오직 입소문만으로 역주행의 아이콘이 된 화제의 소설 《테오》가 마침내 한국 독자들을 찾아왔다. 《테오》는 변호사이자 판사를 거쳐 전업 싱어송라이터로 살아온 작가 앨런 레비가 70대에 가까운 나이에 발표한 첫 장편소설로, 원래는 출간 계획조차 없었던 작품이었다. 그러나 주위의 강한 권유에 힘입어 작가는 자비출판을 하게 되었고, 그렇게 세상에 나온 책은 독자들의 자발적인 추천과 사랑만으로 미국 전역에 퍼져 나가며 하나의 거대한 문화적 현상으로 자리 잡았다. “바로 그 하얀 책(The White Book)”으로 불리며 한차례 열풍을 불러일으킨 《테오》는 2026년 정식 출간 직후 아마존 종합 1위, 〈뉴욕 타임스〉 베스트셀러 1위에 오르며 다시금 그 화제성을 입증했다.
이토록 많은 이들이 이 이야기에 열성적으로 마음을 내어준 까닭은 무엇일까. 겉모습은 더없이 매끄럽고 세련되어졌지만 정작 온기는 옅어진 현대사회를 살아가면서, 어쩌면 우리는 아주 오랫동안 잊고 지낸 무언가를 그리워하고 있었는지도 모른다. 대가 없는 선의, 무용해 보이는 친절, 타인과 느슨하게 연결되는 공동체의 유대감. 그리고 기꺼이 마음 다해 존경할 수 있는 진정한 ‘어른’의 존재를. 《테오》는 날 선 언어와 자극이 범람하는 시대에 우리가 잃어버린, 그러나 여전히 내면 깊은 곳에서 갈구해 마지않는 그 보편의 가치들을 문장 사이사이에 섬세하게 복원해 낸다.
이야기는 한적한 소도시 ‘골든’에 스며든 한 노신사 ‘테오’의 발걸음을 찬찬히 따라간다. 정체를 알 수 없는 미스터리한 이방인인 테오는 훗날 도시 전체에 마법 같은 변화를 불러일으키지만, 그가 애초부터 거창한 기적을 행하려 한 것은 아니다. 그저 남몰래 비밀스러운 프로젝트를, 아주 소박하고도 독특한 선행을 조용히 시작했을 뿐이다. 바로 어느 카페의 벽을 가득 메운 92점의 연필 초상화들을 본래의 얼굴들에게 돌려주는 것. 테오는 그림 속 사람들을 한 명씩 직접 만나 가만히 눈을 맞추고 그들의 이야기에 귀를 기울인다. 잃어버린 얼굴들이 하나둘 제자리를 찾아가는 동안, 앙상했던 세계에는 금빛의 물결이 번져간다. 사람은 왜 늘 다정함에 마음을 내어주게 될까. 《테오》는 이 질문에 대한 가장 아름다운 대답과도 같다.</t>
        </is>
      </c>
      <c r="E77" t="inlineStr">
        <is>
          <t>앨런 레비</t>
        </is>
      </c>
      <c r="F77" t="inlineStr">
        <is>
          <t>오팬하우스</t>
        </is>
      </c>
      <c r="G77" t="inlineStr">
        <is>
          <t>2026-07-01</t>
        </is>
      </c>
      <c r="H77" t="n">
        <v>21000</v>
      </c>
      <c r="I77" t="n">
        <v>18900</v>
      </c>
      <c r="J77" t="n">
        <v>10</v>
      </c>
      <c r="K77" t="n">
        <v>0</v>
      </c>
      <c r="L77" t="n">
        <v>72</v>
      </c>
      <c r="M77" t="n">
        <v>9.9</v>
      </c>
      <c r="N77" t="inlineStr">
        <is>
          <t>소설</t>
        </is>
      </c>
      <c r="O77" t="inlineStr">
        <is>
          <t>https://contents.kyobobook.co.kr/sih/fit-in/200x0/pdt/9791175772892.jpg</t>
        </is>
      </c>
    </row>
    <row r="78">
      <c r="A78" t="inlineStr">
        <is>
          <t>S000219976175</t>
        </is>
      </c>
      <c r="B78" t="n">
        <v>77</v>
      </c>
      <c r="C78" t="inlineStr">
        <is>
          <t>EBS 수능완성 국어영역 독서·문학·언어와 매체(2026)(2027 수능대비)</t>
        </is>
      </c>
      <c r="D78"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78" t="inlineStr">
        <is>
          <t>EBS교육방송 편집부</t>
        </is>
      </c>
      <c r="F78" t="inlineStr">
        <is>
          <t>한국교육방송공사(EBSi)</t>
        </is>
      </c>
      <c r="G78" t="inlineStr">
        <is>
          <t>2026-05-22</t>
        </is>
      </c>
      <c r="H78" t="n">
        <v>15600</v>
      </c>
      <c r="I78" t="n">
        <v>14040</v>
      </c>
      <c r="J78" t="n">
        <v>10</v>
      </c>
      <c r="K78" t="n">
        <v>0</v>
      </c>
      <c r="L78" t="n">
        <v>92</v>
      </c>
      <c r="M78" t="n">
        <v>9.85</v>
      </c>
      <c r="N78" t="inlineStr">
        <is>
          <t>중/고등참고서</t>
        </is>
      </c>
      <c r="O78" t="inlineStr">
        <is>
          <t>https://contents.kyobobook.co.kr/sih/fit-in/200x0/pdt/9791143600516.jpg</t>
        </is>
      </c>
    </row>
    <row r="79">
      <c r="A79" t="inlineStr">
        <is>
          <t>S000218961424</t>
        </is>
      </c>
      <c r="B79" t="n">
        <v>78</v>
      </c>
      <c r="C79" t="inlineStr">
        <is>
          <t>쎈 중등 수학 2-2(2026)</t>
        </is>
      </c>
      <c r="D79" t="inlineStr">
        <is>
          <t>"1. 2022 개정 교육과정을 충실히 반영 
2. A, B, C 3단계 수준별 학습 체제로 학습 효과 극대화 
3. 최신 학교 시험 기출 문제를 수록하여 빈출&amp;신유형 대비 가능
4. 융합적 사고력 향상을 위한 창의 문제 수록"
"1. 시험에 나오는 모든 문제를 이 한 권에
전국 중학교의 학교 시험 기출 문제를 수집하고 분석하여 유형별로 총정리했기 때문에 쎈 수학 한 권만으로도 중학교 수학 학습을 완벽하게 완성할 수 있습니다.
2. 모든 문제를 A, B, C 3단계 난이도로 구성
쉬운 문제에서부터 어려운 문제까지 순서대로 도전하는 것이 합리적인 수학 학습법입니다. 쎈 수학은 모든 문제를 3단계로 나누어 수준별로 구성하고, B단계 유형 뽀개기에서는 이를 다시 하, 중, 상의 난이도로 세분하여 체계적으로 수학 실력을 키울 수 있도록 만들었습니다. 
3. 개념별로 입체적이고 세밀한 유형 제시
하나의 개념에서 파생되는 문제는 그 유형이 다양하게 나타납니다. 중등 수학 2-2에서 다뤄야 하는 모든 문제를 157개 유형으로 분류하고 1142문제로 정리하여 유형별로 충분한 연습이 가능하게 하였고 이를 통해 문제 해결력을 기를 수 있습니다."</t>
        </is>
      </c>
      <c r="E79" t="inlineStr">
        <is>
          <t>홍범준 외</t>
        </is>
      </c>
      <c r="F79" t="inlineStr">
        <is>
          <t>좋은책신사고</t>
        </is>
      </c>
      <c r="G79" t="inlineStr">
        <is>
          <t>2026-01-06</t>
        </is>
      </c>
      <c r="H79" t="n">
        <v>19000</v>
      </c>
      <c r="I79" t="n">
        <v>17100</v>
      </c>
      <c r="J79" t="n">
        <v>10</v>
      </c>
      <c r="K79" t="n">
        <v>0</v>
      </c>
      <c r="L79" t="n">
        <v>159</v>
      </c>
      <c r="M79" t="n">
        <v>9.800000000000001</v>
      </c>
      <c r="N79" t="inlineStr">
        <is>
          <t>중/고등참고서</t>
        </is>
      </c>
      <c r="O79" t="inlineStr">
        <is>
          <t>https://contents.kyobobook.co.kr/sih/fit-in/200x0/pdt/9788928350483.jpg</t>
        </is>
      </c>
    </row>
    <row r="80">
      <c r="A80" t="inlineStr">
        <is>
          <t>S000213913377</t>
        </is>
      </c>
      <c r="B80" t="n">
        <v>79</v>
      </c>
      <c r="C80" t="inlineStr">
        <is>
          <t>행복할 거야 이래도 되나 싶을 정도로(10만 부 기념 교보문고 단독 리커버)</t>
        </is>
      </c>
      <c r="D80" t="inlineStr">
        <is>
          <t>출간 1년 만에 10만 부 이상 판매를 기록하며 에세이 베스트셀러 반열에 오른 『행복할 거야 이래도 되나 싶을 정도로』가 더 큰 행복과 다정한 위로를 품은 리커버 에디션으로 돌아왔다. “올해 읽은 책 중 최고”, “평생 소장하고 싶은 책”이라는 찬사 속에서 입소문만으로 꾸준히 사랑받아 온 이 책은 새롭게 단장한 표지와 한층 따뜻해진 감성으로 다시 한번 푸르른 행복을 전한다.
오늘 당신은 어떤 하루를 보냈을까. 계획이 틀어지고, 애써 온 일이 원하는 만큼 이루어지지 않아 마음이 무거운 날도 있겠지. 그럼에도 묵묵히 하루를 견디고 있는 당신에게 틀림없는 행복이 찾아올 거라 말해 주는 책, 『행복할 거야 이래도 되나 싶을 정도로』는 매일을 버텨 내고 있는 당신이 가슴 깊이 새겨 두면 좋을 글이 가득하다.
『그게 너였으면 좋겠다』, 『잘 살고 싶은 마음이 어렵게 느껴질 때』로 수많은 독자의 사랑을 받은 작가 일홍이 이번에는 하루하루 애쓰며 살아가는 당신의 낮과 밤에 행복을 불어넣고자 펜을 들었다. 삶의 어쩔 수 없는 좌절과 마음의 소란을 버텨 내는 과정 속에서 『행복할 거야 이래도 되나 싶을 정도로』는 우리에게 잊고 있던 다정한 믿음을 일깨운다. 더 나은 이가 되려 노력하는 당신의 곁에 행복이 항상 존재함을 깨달았으면 하는 마음이다.
이 도서의 한 페이지를 펼치면 지금보다 더 괜찮은 하루를 살아갈 수 있다는 단단한 믿음과 그 시간을 응원하는 글들이 반겨 줄 것이다. 감성적인 문장과 위로의 메시지에는 당신의 인생이 빛나고 있음을 확신하고 있다. 당신이 매시간 얼마나 힘쓰고 있는지 누구보다도 잘 안다고, 그러니 그 애씀의 끝에는 마침내 믿을 수 없을 만큼의 행복이 펼쳐질 거라고. 그렇게 다정하면서도 공감할 수 있는 문장들로 당신의 지친 마음을 보듬어 주고자 한다. 당신의 열정은 헛되지 않았다. 그 기간은 더욱 성숙한 당신으로 변화하기 위한 나날들이었으니.
“행복은 고생 끝에 오는 게 아니라 
처음부터 끝까지 언제나 존재하는 것.”
작가는 말한다. 지금 무엇이든 행복이라 느낄 수 있다면, 언제나 행복할 수 있다는 것을 명심하며 살아가려 한다고. 당신도 다양한 곳에서 행복을 찾으면 매일이 안온할 테다. 그렇게 오늘 하루도 괜찮았기를, 이런 행복이 끝없이 이어질 거라 믿기를.
행복을 찾지 못하고 애꿎은 곳만 두리번거리는 이의 손바닥 위에, 다시 행복을 믿게 하는 단 한 권의 책. 『행복할 거야 이래도 되나 싶을 정도로』.</t>
        </is>
      </c>
      <c r="E80" t="inlineStr">
        <is>
          <t>일홍</t>
        </is>
      </c>
      <c r="F80" t="inlineStr">
        <is>
          <t>부크럼</t>
        </is>
      </c>
      <c r="G80" t="inlineStr">
        <is>
          <t>2024-07-29</t>
        </is>
      </c>
      <c r="H80" t="n">
        <v>18000</v>
      </c>
      <c r="I80" t="n">
        <v>16200</v>
      </c>
      <c r="J80" t="n">
        <v>10</v>
      </c>
      <c r="K80" t="n">
        <v>0</v>
      </c>
      <c r="L80" t="n">
        <v>723</v>
      </c>
      <c r="M80" t="n">
        <v>9.710000000000001</v>
      </c>
      <c r="N80" t="inlineStr">
        <is>
          <t>시/에세이</t>
        </is>
      </c>
      <c r="O80" t="inlineStr">
        <is>
          <t>https://contents.kyobobook.co.kr/sih/fit-in/200x0/pdt/9791162145043.jpg</t>
        </is>
      </c>
    </row>
    <row r="81">
      <c r="A81" t="inlineStr">
        <is>
          <t>S000220575038</t>
        </is>
      </c>
      <c r="B81" t="n">
        <v>80</v>
      </c>
      <c r="C81" t="inlineStr">
        <is>
          <t>POP IS CRYIN'</t>
        </is>
      </c>
      <c r="D81" t="inlineStr"/>
      <c r="E81" t="inlineStr">
        <is>
          <t>BEWHY(비와이)</t>
        </is>
      </c>
      <c r="F81" t="inlineStr">
        <is>
          <t>KAKAO ENTERTAINMENT</t>
        </is>
      </c>
      <c r="G81" t="inlineStr">
        <is>
          <t>2026-07-27</t>
        </is>
      </c>
      <c r="H81" t="n">
        <v>22000</v>
      </c>
      <c r="I81" t="n">
        <v>17800</v>
      </c>
      <c r="J81" t="n">
        <v>19</v>
      </c>
      <c r="K81" t="n">
        <v>0</v>
      </c>
      <c r="L81" t="n">
        <v>0</v>
      </c>
      <c r="M81" t="n">
        <v>0</v>
      </c>
      <c r="N81" t="inlineStr">
        <is>
          <t>가요</t>
        </is>
      </c>
      <c r="O81" t="inlineStr">
        <is>
          <t>https://contents.kyobobook.co.kr/sih/fit-in/200x0/pdt/8804775479687.jpg</t>
        </is>
      </c>
    </row>
    <row r="82">
      <c r="A82" t="inlineStr">
        <is>
          <t>S000220342418</t>
        </is>
      </c>
      <c r="B82" t="n">
        <v>81</v>
      </c>
      <c r="C82" t="inlineStr">
        <is>
          <t>HIGH TOP 하이탑 고등학교 화학 반응의 세계(2026)</t>
        </is>
      </c>
      <c r="D82" t="inlineStr">
        <is>
          <t>ᆞ기초부터 심화까지 자세하고 빈틈 없는 개념 설명
ᆞ풍부한 자료와 깊이 있는 내용 분석
ᆞ단계별 문제로 탄탄한 실력 완성
ᆞ이해하기 쉽고 자세한 정답과 해설</t>
        </is>
      </c>
      <c r="E82" t="inlineStr">
        <is>
          <t>동아출판 편집부</t>
        </is>
      </c>
      <c r="F82" t="inlineStr">
        <is>
          <t>동아출판</t>
        </is>
      </c>
      <c r="G82" t="inlineStr">
        <is>
          <t>2026-07-20</t>
        </is>
      </c>
      <c r="H82" t="n">
        <v>22000</v>
      </c>
      <c r="I82" t="n">
        <v>19800</v>
      </c>
      <c r="J82" t="n">
        <v>10</v>
      </c>
      <c r="K82" t="n">
        <v>0</v>
      </c>
      <c r="L82" t="n">
        <v>0</v>
      </c>
      <c r="M82" t="n">
        <v>0</v>
      </c>
      <c r="N82" t="inlineStr">
        <is>
          <t>중/고등참고서</t>
        </is>
      </c>
      <c r="O82" t="inlineStr">
        <is>
          <t>https://contents.kyobobook.co.kr/sih/fit-in/200x0/pdt/9788900491852.jpg</t>
        </is>
      </c>
    </row>
    <row r="83">
      <c r="A83" t="inlineStr">
        <is>
          <t>S000220338953</t>
        </is>
      </c>
      <c r="B83" t="n">
        <v>82</v>
      </c>
      <c r="C83" t="inlineStr">
        <is>
          <t>안녕, 피터팬</t>
        </is>
      </c>
      <c r="D83" t="inlineStr">
        <is>
          <t>유튜브 500만 뷰! 전 국민적 응원, 감동의 인물
카카오 브런치 자발적 후원 1900여 건 쇄도! 
MBC 〈실화탐사대〉 방영 화제작 ‘안녕, 피터팬’
세계일보, 한겨레 특별기획보도 및 인터뷰 대서특필
“저는 죽어도 됩니다. 하지만 제 아들은 살아야 합니다.”
2026년 3월, MBC 〈실화탐사대〉에 등장한 한 아버지의 절규가 대한민국을 울렸다.
기대여명 6개월.
간암 말기 판정을 받은 64세의 아버지는 죽음을 준비해야 할 시간에 오히려 살기 위해 버티고 있었다. 자신을 위해서가 아니었다. 홀로 키워온 스물일곱 살 중증 자폐스펙트럼 장애인 아들 때문이었다. 아들은 말로 의사 표현을 하지 못한다. 사회성 발달 연령은 두 살 수준. 타인에게 위협적으로 느껴진다고들 하는 ‘도전행동’도 있다. 죽어가는 아버지는 자신이 세상을 떠난 뒤 아들이 살아갈 곳을 찾아 대한민국 곳곳을 헤맸다. 
장애인 거주시설, 복지기관, 관련 단체…… 그러나 돌아오는 대답은 한결같았다. “입소 불가입니다.” 인력이 모자라서, T/O가 차서, 자해나 타인에 대한 공격 가능성이 조금이라도 있으면 받을 수 없어서 등등의 이유를 대며 접수 자체를 거부하는 시설들이 대부분이었다. 수백 번의 문의와 거절 끝에 아버지는 절망적인 현실과 마주했다. 대한민국 1천여 개의 장애인 거주시설, 그 어디에도 자신의 아들을 받아줄 곳, 살려줄 곳은 단 한 군데도 없다는 잔인한 사실이었다. 
MBC 〈실화탐사대〉 ‘안녕, 피터팬’ 편이 방송되자 시청자들은 충격을 받았다.
죽음을 앞둔 아버지가 말 그대로 사력을 다해 아들의 미래를 찾아 헤매고 있었기 때문이다. 아버지는 방송에서 말했다.
“끝내 그 어디에도 맡아주는 곳이 없다면, 저는 아들을 데리고 가는 수밖에 없습니다.”
장애인 거주시설이 안 된다면 정신병원에라도 넣어야 하는가. 그러나 정신과 환자들을 결박하는 ‘구속복’을 입고 살아갈 피터팬의 모습을 차마 떠올릴 수 없는 아버지는 가슴을 치며 결국 가장 사랑하는 아들을 자신이 데리고 가야만 하는가 극단적인 생각까지 한다. 
많은 시청자들이 이 말을 듣고 눈물을 흘렸다. 아버지의 외침은 협박도, 분노도 아니었다. 벼랑 끝까지 내몰린 한 아버지의 바닥을 친 절망이자 마지막 구조 요청이었다.
방송 이후 전국에서 응원이 이어졌다. 그가 죽음의 길동무로 삼은 ‘꼭두’라는 가상의 화자가 써내려가는 카카오 브런치 연재글에는 수많은 댓글이 쏟아졌고, 1900여 건, 총 금액 8천만 원에 이르는 자발적 후원이 쇄도했다.
사람들은 비로소 알게 되었다. 우리 사회 어딘가에, 죽어가는데 죽을 수조차 없는 부모가 존재한다는 사실을.
이미 의사가 말해준 의학적 통계적 평균 여명을 넘긴 아빠입니다. 아들 살길 찾아야 하는 제 삶의 마지막 소명, 그 간절한 소망이 저를 붙들었기에 그럴 수 있었습니다. 하지만, 더는 제게 허락된 시간이 없습니다. (「‘말없음표’의 끝」, 345~346쪽)</t>
        </is>
      </c>
      <c r="E83" t="inlineStr">
        <is>
          <t>전경철</t>
        </is>
      </c>
      <c r="F83" t="inlineStr">
        <is>
          <t>이야기장수</t>
        </is>
      </c>
      <c r="G83" t="inlineStr">
        <is>
          <t>2026-06-26</t>
        </is>
      </c>
      <c r="H83" t="n">
        <v>22000</v>
      </c>
      <c r="I83" t="n">
        <v>19800</v>
      </c>
      <c r="J83" t="n">
        <v>10</v>
      </c>
      <c r="K83" t="n">
        <v>0</v>
      </c>
      <c r="L83" t="n">
        <v>29</v>
      </c>
      <c r="M83" t="n">
        <v>9.9</v>
      </c>
      <c r="N83" t="inlineStr">
        <is>
          <t>시/에세이</t>
        </is>
      </c>
      <c r="O83" t="inlineStr">
        <is>
          <t>https://contents.kyobobook.co.kr/sih/fit-in/200x0/pdt/9791194184645.jpg</t>
        </is>
      </c>
    </row>
    <row r="84">
      <c r="A84" t="inlineStr">
        <is>
          <t>S000220240695</t>
        </is>
      </c>
      <c r="B84" t="n">
        <v>83</v>
      </c>
      <c r="C84" t="inlineStr">
        <is>
          <t>영혼의 왈츠 2</t>
        </is>
      </c>
      <c r="D84" t="inlineStr">
        <is>
          <t>끝없이 확장되는 상상력과 거대한 질문으로 독자들을 사로잡아 온 베르나르 베르베르가 신작 『영혼의 왈츠』로 돌아왔다. 이번 작품에서 그는 죽음 이후의 세계, 전생, 기억, 자유 의지라는 자신만의 핵심 주제를 한층 더 거대한 스케일로 밀어붙인다. 세상에 종말이 다가오고 있다는 경고를 들은 외제니 톨레다노는 현재를 구하기 위해 과거의 삶들 속으로 들어가고, 그 여정은 무려 12만 년 전 인류 문명의 기원까지 거슬러 올라간다. 선사 시대에서 고대 문명, 그리고 오늘의 세계에 이르기까지, 『영혼의 왈츠』는 문명의 빛을 지키려는 힘과 인류를 다시 야만의 어둠으로 끌어내리려는 힘의 오래된 충돌을 그려 낸다. 인간은 반복되는 파국 앞에서 끝내 다른 미래를 선택할 수 있는가. 『영혼의 왈츠』는 이 질문을 가장 베르베르다운 상상력으로 펼쳐 보이는 거대한 모험이자, 문명의 종말과 구원을 함께 묻는 압도적인 판타지다.</t>
        </is>
      </c>
      <c r="E84" t="inlineStr">
        <is>
          <t>베르나르 베르베르</t>
        </is>
      </c>
      <c r="F84" t="inlineStr">
        <is>
          <t>열린책들</t>
        </is>
      </c>
      <c r="G84" t="inlineStr">
        <is>
          <t>2026-06-24</t>
        </is>
      </c>
      <c r="H84" t="n">
        <v>18000</v>
      </c>
      <c r="I84" t="n">
        <v>16200</v>
      </c>
      <c r="J84" t="n">
        <v>10</v>
      </c>
      <c r="K84" t="n">
        <v>0</v>
      </c>
      <c r="L84" t="n">
        <v>103</v>
      </c>
      <c r="M84" t="n">
        <v>9.640000000000001</v>
      </c>
      <c r="N84" t="inlineStr">
        <is>
          <t>소설</t>
        </is>
      </c>
      <c r="O84" t="inlineStr">
        <is>
          <t>https://contents.kyobobook.co.kr/sih/fit-in/200x0/pdt/9788932925790.jpg</t>
        </is>
      </c>
    </row>
    <row r="85">
      <c r="A85" t="inlineStr">
        <is>
          <t>S000220215920</t>
        </is>
      </c>
      <c r="B85" t="n">
        <v>84</v>
      </c>
      <c r="C85" t="inlineStr">
        <is>
          <t>시간의 감촉</t>
        </is>
      </c>
      <c r="D85" t="inlineStr">
        <is>
          <t>성격도 외양도 너무 다른 자매 안나와 경선.
서로의 몸에 새겨진 미지의 기억들과
삶의 저녁에 맞이하는 모든 ‘첫’의 순간들,
그리고 마침내 새로운 미래를 함께 펼쳐 보이는 이야기
은희경이 장편소설로는 『빛의 과거』(문학과지성사, 2019) 이후 7년 만에 반가운 신작 『시간의 감촉』을 펴낸다. 은희경은 누구인가? 첫 장편소설 『새의 선물』로 누적 발행 100쇄를 돌파하는 신화를 이룩해낸, 삼십여 년간 소설집 일곱 권과 장편소설 여덟 권을 선보이며 한시도 소설쓰기를 멈추지 않은 현역. 인간의 복잡한 내면과 그 내면들로 얽힌 사회의 모습을 감상성 없는 냉철한 시선과 쉽게 타협하지 않는 사유, 치밀하게 벼린 문장으로 풀어헤치며 뭇 독자마다 애정하는 작품이 하나같이 다른 작가. 발표하는 작품이 곧 사건이고 언제나 새로움을 선사하는 한국문학의 대표적인 거장.
그런 작가가 계간 『문학동네』 2024년 가을호부터 2025년 가을호까지 연재를 마친 후 숙고의 시간을 거쳐 다듬어 펴내는 『시간의 감촉』은 누구도 벗어날 수 없는 ‘몸’이라는 조건하에 살아가는 우리네 삶을 안나와 경선이라는 자매의 모습을 통해 진진하게 펼쳐 보이는 작품이다. 작가는 『시간의 감촉』의 ‘작가의 말’에서 “한 사람의 몸에 담긴 시간과 공간과 사회의 이야기”를 쓰고 싶었다고 밝힌다. “발견과 성장의 여정”이라는 공통적인 주제를 담고 있다는 점에서 이번 장편이 “『새의 선물』과 『빛의 과거』”를 잇는 “‘시간 3부작’”의 대미라고도 말한다. 『시간의 감촉』은 사반세기 넘게 회자되며 여전히 뜨겁게 읽히고 있는 데뷔작 『새의 선물』과 과거의 편집을 통해 한 세대의 어둠을 빛으로 되살려낸 근작 『빛의 과거』를 거쳐 이 시대에 도달한 새로운 클래식이라 부를 수 있을 것이다.
철저한 현재형 시제로 쓰인 문장이 불러일으키는 동시대적 시간 감각, 타인의 살갗과 내면 모두를 감각하게 하는 섬세하고도 아름다운 장면 장면의 디테일, 삶과 죽음의 사유로써 잊지 못할 감동과 여운을 남기는 이번 작품은 은희경을 따라 읽어온, 혹은 처음 접하는 독자 모두에게 단 한 권의 ‘결정적 소설’로 다가가리라 믿는다.</t>
        </is>
      </c>
      <c r="E85" t="inlineStr">
        <is>
          <t>은희경</t>
        </is>
      </c>
      <c r="F85" t="inlineStr">
        <is>
          <t>문학동네</t>
        </is>
      </c>
      <c r="G85" t="inlineStr">
        <is>
          <t>2026-06-22</t>
        </is>
      </c>
      <c r="H85" t="n">
        <v>18800</v>
      </c>
      <c r="I85" t="n">
        <v>16920</v>
      </c>
      <c r="J85" t="n">
        <v>10</v>
      </c>
      <c r="K85" t="n">
        <v>0</v>
      </c>
      <c r="L85" t="n">
        <v>67</v>
      </c>
      <c r="M85" t="n">
        <v>9.93</v>
      </c>
      <c r="N85" t="inlineStr">
        <is>
          <t>소설</t>
        </is>
      </c>
      <c r="O85" t="inlineStr">
        <is>
          <t>https://contents.kyobobook.co.kr/sih/fit-in/200x0/pdt/9791141617226.jpg</t>
        </is>
      </c>
    </row>
    <row r="86">
      <c r="A86" t="inlineStr">
        <is>
          <t>S000219976180</t>
        </is>
      </c>
      <c r="B86" t="n">
        <v>85</v>
      </c>
      <c r="C86" t="inlineStr">
        <is>
          <t>EBS 수능완성 사회탐구영역 생활과 윤리(2026)(2027 수능대비)</t>
        </is>
      </c>
      <c r="D86"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86" t="inlineStr">
        <is>
          <t>EBS교육방송 편집부</t>
        </is>
      </c>
      <c r="F86" t="inlineStr">
        <is>
          <t>한국교육방송공사(EBSi)</t>
        </is>
      </c>
      <c r="G86" t="inlineStr">
        <is>
          <t>2026-05-22</t>
        </is>
      </c>
      <c r="H86" t="n">
        <v>9800</v>
      </c>
      <c r="I86" t="n">
        <v>8820</v>
      </c>
      <c r="J86" t="n">
        <v>10</v>
      </c>
      <c r="K86" t="n">
        <v>0</v>
      </c>
      <c r="L86" t="n">
        <v>58</v>
      </c>
      <c r="M86" t="n">
        <v>9.82</v>
      </c>
      <c r="N86" t="inlineStr">
        <is>
          <t>중/고등참고서</t>
        </is>
      </c>
      <c r="O86" t="inlineStr">
        <is>
          <t>https://contents.kyobobook.co.kr/sih/fit-in/200x0/pdt/9791143600578.jpg</t>
        </is>
      </c>
    </row>
    <row r="87">
      <c r="A87" t="inlineStr">
        <is>
          <t>S000219930532</t>
        </is>
      </c>
      <c r="B87" t="n">
        <v>86</v>
      </c>
      <c r="C87" t="inlineStr">
        <is>
          <t>최소한의 세계사</t>
        </is>
      </c>
      <c r="D87" t="inlineStr">
        <is>
          <t>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 동서양 고대 문명의 탄생부터 현대의 격변까지, 교양으로서 꼭 알아야 할 세계 역사의 핵심 장면들만 선별한 이 책은 어렵거나 지엽적인 이야기는 과감히 덜어내면서 주요 인물과 사건이 어떻게 연결되어 오늘의 세계로 이어졌는지를 쉽고 명쾌하게 정리한다. 저자 특유의 생생한 스토리텔링이 더해져 그동안 외워야 한다고 생각했던 역사가 흥미진진한 이야기로 자연스럽게 이해되고 기억되기 시작할 것이다. 
역사 길잡이 최태성 강사가 “세계사 교양서의 모범”이라 추천했듯이 이 책은 어렵고 멀게 느껴졌던 세계사를 세상을 폭넓게 이해하게 만드는 교양으로 탈바꿈시키는 최고의 안내서다. 책장을 한 장 한 장 넘기다 보면 ‘아, 이런 맥락이었구나!’, ‘그래서 지금의 세계가 이렇게 흘러가는구나’ 하고 자연스럽게 깨닫게 된다. 대한민국 대표 세계사 전문가 이다지와 함께 6천 년 세계사를 꿰뚫는 여정을 지금, 시작해 보자.</t>
        </is>
      </c>
      <c r="E87" t="inlineStr">
        <is>
          <t>이다지</t>
        </is>
      </c>
      <c r="F87" t="inlineStr">
        <is>
          <t>프런트페이지</t>
        </is>
      </c>
      <c r="G87" t="inlineStr">
        <is>
          <t>2026-05-13</t>
        </is>
      </c>
      <c r="H87" t="n">
        <v>23000</v>
      </c>
      <c r="I87" t="n">
        <v>20700</v>
      </c>
      <c r="J87" t="n">
        <v>10</v>
      </c>
      <c r="K87" t="n">
        <v>0</v>
      </c>
      <c r="L87" t="n">
        <v>203</v>
      </c>
      <c r="M87" t="n">
        <v>9.84</v>
      </c>
      <c r="N87" t="inlineStr">
        <is>
          <t>역사/문화</t>
        </is>
      </c>
      <c r="O87" t="inlineStr">
        <is>
          <t>https://contents.kyobobook.co.kr/sih/fit-in/200x0/pdt/9791193401675.jpg</t>
        </is>
      </c>
    </row>
    <row r="88">
      <c r="A88" t="inlineStr">
        <is>
          <t>S000219972693</t>
        </is>
      </c>
      <c r="B88" t="n">
        <v>87</v>
      </c>
      <c r="C88" t="inlineStr">
        <is>
          <t>EBS 만점왕 초등 수학 3-2(2026)</t>
        </is>
      </c>
      <c r="D88" t="inlineStr">
        <is>
          <t>예습ㆍ복습ㆍ숙제까지 한 번에 해결되는 교과서 완전 학습서
혼자 공부해도 충분한 만점왕!
만점왕 한 권으로 학교 진도에 따라 공부해 보세요. 
개념책에는 학습 개념, 실전책에는 단원별 핵심정리와 확인 문제가 있습니다. 
재미있는 무료 강의가 있어 만점왕과 함께라면 혼자서도 쉽게 공부할 수 있습니다. 
예습·복습·숙제까지 해결되는 교과서 완전 학습서, 초등부터 “EBS 만점왕”과 함께 하세요.
만점으로 향하는 〈만점왕 수학 시리즈〉♬
만점왕 연산(예비 초등~초6) ▶ 만점왕 수학(초1~초6) ▶ 만점왕 수학 플러스(초1~초6)</t>
        </is>
      </c>
      <c r="E88" t="inlineStr">
        <is>
          <t>EBS교육방송 편집부</t>
        </is>
      </c>
      <c r="F88" t="inlineStr">
        <is>
          <t>한국교육방송공사(EBSi)</t>
        </is>
      </c>
      <c r="G88" t="inlineStr">
        <is>
          <t>2026-05-03</t>
        </is>
      </c>
      <c r="H88" t="n">
        <v>16500</v>
      </c>
      <c r="I88" t="n">
        <v>14850</v>
      </c>
      <c r="J88" t="n">
        <v>10</v>
      </c>
      <c r="K88" t="n">
        <v>0</v>
      </c>
      <c r="L88" t="n">
        <v>26</v>
      </c>
      <c r="M88" t="n">
        <v>9.380000000000001</v>
      </c>
      <c r="N88" t="inlineStr">
        <is>
          <t>초등참고서</t>
        </is>
      </c>
      <c r="O88" t="inlineStr">
        <is>
          <t>https://contents.kyobobook.co.kr/sih/fit-in/200x0/pdt/9791143600363.jpg</t>
        </is>
      </c>
    </row>
    <row r="89">
      <c r="A89" t="inlineStr">
        <is>
          <t>S000218967763</t>
        </is>
      </c>
      <c r="B89" t="n">
        <v>88</v>
      </c>
      <c r="C89" t="inlineStr">
        <is>
          <t>EBS 수능특강 국어영역 문학(2026)(2027 수능대비)</t>
        </is>
      </c>
      <c r="D89" t="inlineStr">
        <is>
          <t>[EBS와 함께 수능특강 연계 완전 정복 커리큘럼]
① 수능특강: 교육과정 핵심 내용과 최신 수능 경향을 반영한 수능 대비 필수 기본서, 2027학년도 수능 시험을 준비하는 학생이라면 반드시 봐야 할 교재
② 수능특강 사용설명서: 출제자가 직접 분석한 가장 정확한 첨삭 지도서, 수능특강을 공부하는 가장 쉽고 빠른 방법
③ 수능특강 문학 연계 기출: 수능특강 문학과의 완벽한 시너지, 수능특강 지문과 유사도가 높은 기출문제로 간접 연계와 비연계 동시 대비
④ 수능연계교재의 VOCA 1800: 어휘로 판가름 나는 수능 영어 등급, 연계교재의 중요·핵심 어휘를 한 권으로 완성
⑤ 수능연계 기출 Vaccine VOCA 2200: 40일 단기간에 완성하는 수능 어휘 학습, 최고 빈출·중요 어휘 2,200단어를 선별하여 수록한 수능 영단어장의 끝판왕
[단 한번의 수능을 위한 실전 모의고사 커리큘럼]
(1) FINAL 실전 모의고사(5월 발행) ▶ 만점마무리 봉투모의고사 시즌1(6월 발행) ▶ 만점마무리 봉투모의고사 시즌2 고난도(8월 발행) ▶ 고난도 논스톱 봉투모의고사(9월 발행) ▶ 수능 직전보강 클리어 봉투모의고사(9월 발행)
(2) EBS eBook 전용 『버티컬 모의고사』 시즌1~4
EBSi 사이트에서 전 교재 무료 강의를 제공합니다.</t>
        </is>
      </c>
      <c r="E89" t="inlineStr">
        <is>
          <t>EBS교육방송 편집부</t>
        </is>
      </c>
      <c r="F89" t="inlineStr">
        <is>
          <t>한국교육방송공사(EBSi)</t>
        </is>
      </c>
      <c r="G89" t="inlineStr">
        <is>
          <t>2026-01-20</t>
        </is>
      </c>
      <c r="H89" t="n">
        <v>13500</v>
      </c>
      <c r="I89" t="n">
        <v>12150</v>
      </c>
      <c r="J89" t="n">
        <v>10</v>
      </c>
      <c r="K89" t="n">
        <v>0</v>
      </c>
      <c r="L89" t="n">
        <v>1043</v>
      </c>
      <c r="M89" t="n">
        <v>9.880000000000001</v>
      </c>
      <c r="N89" t="inlineStr">
        <is>
          <t>중/고등참고서</t>
        </is>
      </c>
      <c r="O89" t="inlineStr">
        <is>
          <t>https://contents.kyobobook.co.kr/sih/fit-in/200x0/pdt/9788954798136.jpg</t>
        </is>
      </c>
    </row>
    <row r="90">
      <c r="A90" t="inlineStr">
        <is>
          <t>S000217530912</t>
        </is>
      </c>
      <c r="B90" t="n">
        <v>89</v>
      </c>
      <c r="C90" t="inlineStr">
        <is>
          <t>일품 중등 수학 2-2 567제(2026)</t>
        </is>
      </c>
      <c r="D90" t="inlineStr">
        <is>
          <t>"1. 내신 기본 다지기를 위한 개념 학습과 기출 문제 연습
전국 중학교 중간 · 기말고사 문제를 철저히 분석하여 이를 바탕으로 출제 빈도가 높은 핵심 개념을 정리하고, 시험에 자주 출제되는 유형을 뽑아 기본 학습에 충실할 수 있도록 구성하였습니다.
또 교과서 핵심 개념과 연계되는 심화 개념 또는 상위 개념 설명과 함께 관련 문제를 구성하여 변별력을 요구하는 문제를 보다 쉽게 해결할 수 있도록 하였습니다.
2. 내신 만점 달성을 위한 입체적인 문제 구성
내신 만점의 목표 달성을 위해 내신 빈출 유형을 분석하여 중상위 수준의 ""만점 도전을 위한 고난도 문제""와 내신 만점의 실력을 굳히기 위한  최상위 수준의 ""최상위로 가는 최고 수준 문제""를 구성하였습니다. 그리고 중간 · 기말고사 대비를 위해 대단원별로 ""학교 시험 실전 TEST""를 구성하였습니다.
3. 창의적 사고력과 문제 해결력 향상을 위한 집중 학습
창의적 사고력을 기를 수 있도록 사고력 창의문제를 구성하였고, 문제 접근 방법과 체계적인 풀이를 제시하여 문제 해결력을 향상시킬 수 있도록 하였습니다."</t>
        </is>
      </c>
      <c r="E90" t="inlineStr">
        <is>
          <t>홍범준 외</t>
        </is>
      </c>
      <c r="F90" t="inlineStr">
        <is>
          <t>좋은책신사고</t>
        </is>
      </c>
      <c r="G90" t="inlineStr">
        <is>
          <t>2025-09-10</t>
        </is>
      </c>
      <c r="H90" t="n">
        <v>16000</v>
      </c>
      <c r="I90" t="n">
        <v>14400</v>
      </c>
      <c r="J90" t="n">
        <v>10</v>
      </c>
      <c r="K90" t="n">
        <v>0</v>
      </c>
      <c r="L90" t="n">
        <v>135</v>
      </c>
      <c r="M90" t="n">
        <v>9.77</v>
      </c>
      <c r="N90" t="inlineStr">
        <is>
          <t>중/고등참고서</t>
        </is>
      </c>
      <c r="O90" t="inlineStr">
        <is>
          <t>https://contents.kyobobook.co.kr/sih/fit-in/200x0/pdt/9788928350193.jpg</t>
        </is>
      </c>
    </row>
    <row r="91">
      <c r="A91" t="inlineStr">
        <is>
          <t>S000216900602</t>
        </is>
      </c>
      <c r="B91" t="n">
        <v>90</v>
      </c>
      <c r="C91" t="inlineStr">
        <is>
          <t>박곰희 연금 부자 수업(25만 부 기념 리미티드 에디션)</t>
        </is>
      </c>
      <c r="D91" t="inlineStr">
        <is>
          <t>노후 고민에 대한 가장 확실한 해답으로 사랑받아온 《박곰희 연금 부자 수업》이 출간 1년 만에 25만 부 판매를 기록하며 베스트셀러에 오른 것을 기념해, 인플루엔셜에서 ‘25만 부 기념 에디션’을 한정판으로 선보인다. 
성인 4명 중 1명이 노후 준비를 포기하는 냉혹한 현실 속에서 “복잡한 투자 지식도, 목돈도 없어도 된다”는 명쾌한 메시지로 30~50대 직장인과 예비 은퇴자들에게 새로운 돌파구를 제시했다. 증권사 PB 출신으로 120만 구독자를 보유한 금융 유튜버 박곰희가 6년간 구독자들의 고민을 직접 들으며 완성한 이 책은 4개의 절세 통장과 검증된 투자 방법만으로 누구나 따라 할 수 있는 연금 부자 로드맵을 담고 있다.
이 책의 가장 혁신적인 부분은 은퇴 후 안정적인 자산 인출 전략으로 ‘4% 룰’을 적용했다는 점이다. 저자는 은퇴자금에서 매년 4%씩 인출하면 30년 이상 또는 평생 자금이 고갈되지 않는다는 검증된 방법론을 활용해 원금은 보존하면서 수익으로만 생활하는 ‘마르지 않는 현금흐름’을 만드는 구체적인 방법을 제시한다. 실제로 노벨상을 수여하는 노벨재단도 이와 유사한 원리로 120년간 꾸준히 상금을 지급해오고 있다. 저자는 이 과학적 근거를 바탕으로 연금 자산의 4~6%만 매년 인출하면 평생 사용할 수 있는 전략을 구체화했다.
“완벽한 계획보다 불완전한 첫걸음이 중요하다”라는 저자의 메시지는 자산 수령의 전 과정을 5단계로 나눠 세밀하게 안내하는 탁월한 구성과 맞물려, 독자들에게 흔들리지 않는 실천의 기반을 마련해준다. 30~40대 직장인부터 50대 예비 은퇴자까지, 노후를 준비하는 모든 이들의 투자 여정을 이끌 가장 확실한 길잡이가 될 것이다.</t>
        </is>
      </c>
      <c r="E91" t="inlineStr">
        <is>
          <t>박곰희</t>
        </is>
      </c>
      <c r="F91" t="inlineStr">
        <is>
          <t>인플루엔셜</t>
        </is>
      </c>
      <c r="G91" t="inlineStr">
        <is>
          <t>2025-06-25</t>
        </is>
      </c>
      <c r="H91" t="n">
        <v>21000</v>
      </c>
      <c r="I91" t="n">
        <v>18900</v>
      </c>
      <c r="J91" t="n">
        <v>10</v>
      </c>
      <c r="K91" t="n">
        <v>0</v>
      </c>
      <c r="L91" t="n">
        <v>804</v>
      </c>
      <c r="M91" t="n">
        <v>9.85</v>
      </c>
      <c r="N91" t="inlineStr">
        <is>
          <t>경제/경영</t>
        </is>
      </c>
      <c r="O91" t="inlineStr">
        <is>
          <t>https://contents.kyobobook.co.kr/sih/fit-in/200x0/pdt/9791168342941.jpg</t>
        </is>
      </c>
    </row>
    <row r="92">
      <c r="A92" t="inlineStr">
        <is>
          <t>S000216111714</t>
        </is>
      </c>
      <c r="B92" t="n">
        <v>91</v>
      </c>
      <c r="C92" t="inlineStr">
        <is>
          <t>혼모노</t>
        </is>
      </c>
      <c r="D92" t="inlineStr">
        <is>
          <t>2024·2025 젊은작가상, 2024 이효석문학상 우수작품상 수상작 수록
작품마다 치밀한 취재와 정교한 구성을 바탕으로 한 개성적인 캐릭터와 강렬하고도 서늘한 서사로 평단과 독자의 주목을 고루 받으며 새로운 세대의 리얼리즘을 열어가고 있다 평가받는 작가 성해나가 두번째 소설집 『혼모노』를 선보인다. 성해나는 2024·2025 젊은작가상, 2024 이효석문학상 우수작품상, 2024 김만중문학상 신인상 등 다수의 문학상을 연달아 수상하고 온라인 서점 예스24가 선정한 ‘2024 한국문학의 미래가 될 젊은 작가’ 투표에서 1위로 선정되는 등 이미 그 화제성을 증명한 바 있다. 첫 소설집 『빛을 걷으면 빛』(문학동네 2022)에서 타인을 이해하려는 시도를 부드럽고 따스한 시선으로 담아내고, 첫 장편소설 『두고 온 여름』(창비 2023)에서 오해와 결별로 얼룩진 과거에 애틋한 인사를 건네고자 했던 그가 『혼모노』에 이르러 더욱 예리해진 문제의식과 흡인력 넘치는 서사를 통해 지역, 정치, 세대 등 우리를 가르는 다양한 경계를 들여다보며 세태의 풍경을 선명하게 묘파해낸다. 특히 이번 소설집에는 지난해 끊임없이 호명되며 문단을 휩쓸었다 해도 과언이 아닐 표제작 「혼모노」를 비롯해 작가에게 2년 연속 젊은작가상을 선사해준 「길티 클럽: 호랑이 만지기」, 이 계절의 소설과 올해의 문제소설에 선정된 「스무드」 등이 수록되어 더욱 눈길을 끈다. “작가의 ‘신명’이라 불”릴(추천사, 이기호) 만큼 “질투 나는 재능”(추천사, 박정민)으로 빛나는 『혼모노』, 그토록 기다려왔던 한국문학의 미래가 바로 지금 우리 앞에 도착해 있다.</t>
        </is>
      </c>
      <c r="E92" t="inlineStr">
        <is>
          <t>성해나</t>
        </is>
      </c>
      <c r="F92" t="inlineStr">
        <is>
          <t>창비</t>
        </is>
      </c>
      <c r="G92" t="inlineStr">
        <is>
          <t>2025-03-28</t>
        </is>
      </c>
      <c r="H92" t="n">
        <v>18000</v>
      </c>
      <c r="I92" t="n">
        <v>16200</v>
      </c>
      <c r="J92" t="n">
        <v>10</v>
      </c>
      <c r="K92" t="n">
        <v>0</v>
      </c>
      <c r="L92" t="n">
        <v>1046</v>
      </c>
      <c r="M92" t="n">
        <v>9.24</v>
      </c>
      <c r="N92" t="inlineStr">
        <is>
          <t>소설</t>
        </is>
      </c>
      <c r="O92" t="inlineStr">
        <is>
          <t>https://contents.kyobobook.co.kr/sih/fit-in/200x0/pdt/9788936439743.jpg</t>
        </is>
      </c>
    </row>
    <row r="93">
      <c r="A93" t="inlineStr">
        <is>
          <t>S000212414274</t>
        </is>
      </c>
      <c r="B93" t="n">
        <v>92</v>
      </c>
      <c r="C93" t="inlineStr">
        <is>
          <t>쇼펜하우어 인생수업(30만 부 기념 개정증보판)</t>
        </is>
      </c>
      <c r="D93" t="inlineStr">
        <is>
          <t>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t>
        </is>
      </c>
      <c r="E93" t="inlineStr">
        <is>
          <t>쇼펜하우어</t>
        </is>
      </c>
      <c r="F93" t="inlineStr">
        <is>
          <t>하이스트</t>
        </is>
      </c>
      <c r="G93" t="inlineStr">
        <is>
          <t>2024-02-20</t>
        </is>
      </c>
      <c r="H93" t="n">
        <v>17500</v>
      </c>
      <c r="I93" t="n">
        <v>15750</v>
      </c>
      <c r="J93" t="n">
        <v>10</v>
      </c>
      <c r="K93" t="n">
        <v>0</v>
      </c>
      <c r="L93" t="n">
        <v>504</v>
      </c>
      <c r="M93" t="n">
        <v>9.57</v>
      </c>
      <c r="N93" t="inlineStr">
        <is>
          <t>인문</t>
        </is>
      </c>
      <c r="O93" t="inlineStr">
        <is>
          <t>https://contents.kyobobook.co.kr/sih/fit-in/200x0/pdt/9791193282045.jpg</t>
        </is>
      </c>
    </row>
    <row r="94">
      <c r="A94" t="inlineStr">
        <is>
          <t>S000220429711</t>
        </is>
      </c>
      <c r="B94" t="n">
        <v>93</v>
      </c>
      <c r="C94" t="inlineStr">
        <is>
          <t>기적의 말하기 영어 구동사 420</t>
        </is>
      </c>
      <c r="D94" t="inlineStr">
        <is>
          <t>원어민들은 일상에서 구동사를 놀라울 정도로 자주 사용합니다. 간단한 동사 하나에 up, down, in, out 같은 작은 단어(전치사나 부사)를 붙여 수많은 의미와 뉘앙스를 만들어냅니다. 그래서 구동사를 모르면 영어를 읽고 듣는 데 빈틈이 생기고, 반대로 구동사를 익히면 영어가 훨씬 자연스럽고 생생하게 느껴집니다.
문제는 구동사의 종류가 너무 많고 의미도 다양해서 하나하나 외우는 게 거의 불가능하다는 점인데요. 예를 들어, take 동사 자체만으로 이미 뜻이 많은데, 여기에 on, off, in, out 등을 붙이면 take on, take off, take in, take out처럼 의미가 더욱 확장되기 때문입니다. 
따라서 개별적으로 외우기보다 작은 단어, 즉 전치사/부사의 개념적 패턴을 이해하는 것이 더 효과적입니다. 예를 들어, up은 일반적으로 “위로, 더 많이, 발전, 개선, 등장” 같은 느낌을, off는 “떨어짐, 분리, 멈춤, 차단, 떠남” 같은 느낌을 줍니다. 이런 전치사의 느낌을 이해하면, 구동사를 효율적으로 학습하고, 새로운 구동사의 뜻도 스스로 유추할 수 있는 힘이 길러집니다.
① 전치사의 ‘느낌’으로 배우는 구동사 학습법
구동사에서 많이 쓰는 핵심 15개의 전치사가 갖고 있는 고유의 느낌을 이해하면 구동사를 훨씬 쉽고, 효율적으로 익힐 수 있습니다. 이러한 핵심 전치사의 느낌을 익히면 새로운 구동사의 의미까지 스스로 유추할 수 있게 됩니다.
② 단 15개의 핵심 전치사로 420개 구동사 완성
원어민이 가장 많이 사용하는 단 15개의 핵심 전치사에 우리가 이미 알고 있는 동사들을 조합하여 420개의 구동사를 익힐 수 있습니다. 
③ 30일 집중 학습으로 ‘아는 영어’를 ‘쓰는 영어’로
느끼고(Warm Up), 이해하고(Dig In), 말하고(Speak Out), 스스로 해석하는(Jump Up) 체계적 4단계 훈련을 통해 구동사의 원리를 익힙니다. 30일 집중 학습으로, 구동사를 보는 순간 의미가 떠오르고, 원하는 뉘앙스를 직접 조합해 말할 수 있는 영어회화 자신감까지 완성합니다.</t>
        </is>
      </c>
      <c r="E94" t="inlineStr">
        <is>
          <t>최근영(에린)</t>
        </is>
      </c>
      <c r="F94" t="inlineStr">
        <is>
          <t>시원스쿨닷컴</t>
        </is>
      </c>
      <c r="G94" t="inlineStr">
        <is>
          <t>2026-07-06</t>
        </is>
      </c>
      <c r="H94" t="n">
        <v>9000</v>
      </c>
      <c r="I94" t="n">
        <v>8100</v>
      </c>
      <c r="J94" t="n">
        <v>10</v>
      </c>
      <c r="K94" t="n">
        <v>0</v>
      </c>
      <c r="L94" t="n">
        <v>4</v>
      </c>
      <c r="M94" t="n">
        <v>10</v>
      </c>
      <c r="N94" t="inlineStr">
        <is>
          <t>외국어</t>
        </is>
      </c>
      <c r="O94" t="inlineStr">
        <is>
          <t>https://contents.kyobobook.co.kr/sih/fit-in/200x0/pdt/9791124612231.jpg</t>
        </is>
      </c>
    </row>
    <row r="95">
      <c r="A95" t="inlineStr">
        <is>
          <t>S000220350871</t>
        </is>
      </c>
      <c r="B95" t="n">
        <v>94</v>
      </c>
      <c r="C95" t="inlineStr">
        <is>
          <t>예비 매3비 매일 지문 3개씩 공부하는 비문학 독서 기출</t>
        </is>
      </c>
      <c r="D95" t="inlineStr">
        <is>
          <t>『매3비』가 수능 국어 베스트셀러가 된 이유는 ‘제대로 공부법’이 결합되어, 책에서 제시한 공부법에 따라 공부한 학생들이 실제로 성적이 오른 사례가 많아서라고 들었다. 이 점을 감안하여, 『예비 매3비』는 『매3비』의 구성 및 체제를 따르되 ‘준비편(입문편)’의 성격에 맞게 좋은 문제와 잘 다듬어진 지문이면서 수능 기출보다 쉬운 지문과 문제들로 구성하였다. 다만, 고1을 대상으로 실시한 3월 고1 모의고사 2025학년도에 이어 2026학년도에도 어렵게 출제되었고, 수능 시험에서 비문학 독서의 난도가 여전히 높은 점을 감안하여, 그 경향성에 맞게 기출을 엄선하였다. 
그리고 이번 개정12판 예비 매3비에서 달라진 점과
중점을 두어 개정한 내용을 압축하면
1.	독서와 작문 융합 문제를 비롯하여 변화되는 2028학년도 수능의 출제 경향을 심층 분석하여 반영함.
2.	2026년 3월에 실시한 고1 전국모의고사까지 반영함.
3.	세부 영역별 지문 배치+제재 융합 지문+독서와 작문 융합 지문+제재 혼합 지문+실전 훈련으로 구성함. 
4.	기존 해설을 학생의 입장에서 다시 검토하고 다듬음.
5.	학생들의 질문을 반영하여 정답과 오답인 이유를 보완함.
6.	지문 내용 문단별 요약으로 독해 훈련을 강화함.
7.	문항 유형별 접근 방법 및 실수를 줄이는 공부법을 몸에 배게 함. 
8.	더 중요해진 독해력과 어휘력을 향상할 수 있는 비법을 교재 곳곳에 녹임.
9.	내가 약한 부분과 그것에 대한 처방을 스스로 찾아 대비할 수 있게 함.
10.	복습 효과를 높일 수 있도록 3차 복습(매일 복습, 매주 복습, 마무리 복습)까지 효과적으로 할 수 있게 함.
등이다. 
독해력과 어휘력 향상을 위해 특히 더 챙겨 봐야 할 것은 ‘독해력을 길러 주는 지문 분석’과 ‘설명 속 어휘 풀이’ 및 ‘복습을 위한 어휘 노트’와 ‘매3인사이트.집’ (수능 비문학 어휘집)으로, 지문을 복습할 때 스스로 체크한 각 문단의 핵심어(구) 및 간단히 메모한 중심 내용을 ‘독해력을 길러 주는 지문 분석’과 비교하면 국어 영역 공부의 핵심인 독해력 향상에 큰 도움이 될 것이고, 〈클리닉 해설〉과 부록 ‘매3인사이트.집’의 어휘 풀이를 참고하면 국어 성적의 발목을 잡는 어휘력이 향상될 것이다.
별책 부록인 ‘매3인사이트.집’은 수능 비문학 어휘집으로, 국어의 핵심 역량인 ‘어휘력’과 ‘독해력’ 강화를 위한 전략적 도구로 만들어 어휘에 인사이트가 생기게 하였다. ‘매3인사이트.집’은 수능 비문학 지문과 문제 속 빈출 어휘를 통해 낯선 어휘의 뜻도 쉽게 떠올릴 수 있는 힘이 생기게 하는 특별한 어휘집인 것이다.</t>
        </is>
      </c>
      <c r="E95" t="inlineStr">
        <is>
          <t>안인숙</t>
        </is>
      </c>
      <c r="F95" t="inlineStr">
        <is>
          <t>키출판사</t>
        </is>
      </c>
      <c r="G95" t="inlineStr">
        <is>
          <t>2026-07-03</t>
        </is>
      </c>
      <c r="H95" t="n">
        <v>19000</v>
      </c>
      <c r="I95" t="n">
        <v>17100</v>
      </c>
      <c r="J95" t="n">
        <v>10</v>
      </c>
      <c r="K95" t="n">
        <v>0</v>
      </c>
      <c r="L95" t="n">
        <v>8</v>
      </c>
      <c r="M95" t="n">
        <v>10</v>
      </c>
      <c r="N95" t="inlineStr">
        <is>
          <t>중/고등참고서</t>
        </is>
      </c>
      <c r="O95" t="inlineStr">
        <is>
          <t>https://contents.kyobobook.co.kr/sih/fit-in/200x0/pdt/9791165269449.jpg</t>
        </is>
      </c>
    </row>
    <row r="96">
      <c r="A96" t="inlineStr">
        <is>
          <t>S000220293112</t>
        </is>
      </c>
      <c r="B96" t="n">
        <v>95</v>
      </c>
      <c r="C96" t="inlineStr">
        <is>
          <t>사고외주</t>
        </is>
      </c>
      <c r="D96" t="inlineStr">
        <is>
          <t>“우리는 지금 ‘똑똑한 무능함’에 빠져 있다”
과정 없이 결론만 얻는 시대, 인간은 무엇을 잃게 되는가?
연세대 홍진기 교수, AI 시대 가장 조용하고 위험한 변화를 말하다
매끄러운 문장 사이로, 어느 날부터 학생의 얼굴이 보이지 않기 시작했다. 연세대 화공생명공학과 홍진기 교수가 강의실에서 마주한 이 서늘한 감각은 이 책의 출발점이자 AI 시대를 살아가는 우리 모두가 직면한 질문이다. 학생들의 보고서는 예전보다 훨씬 단단해졌고, 문장은 놀라울 만큼 매끄러워졌다. 그러나 글을 읽어 내려갈수록 묘한 이질감이 남았다. 글 속에 있어야 할 고민과 망설임, 길을 잃었다가 다시 생각을 붙잡은 흔적, 즉 한 사람이 세상을 통과하는 고유한 방식이 점점 흐릿해지고 있었기 때문이다. 교수가 글의 한 대목을 가리키며 “이 부분은 왜 이렇게 생각했나요?”라고 질문을 던지면 학생은 당황한 채 멈춰 선다. 자신이 쓴 문장인데도 그 결론까지 단 한 번도 걸어가 본 적이 없는 사람처럼 말이다.
AI 시대, 쏟아지는 책들은 묻는다. 어떤 직업이 사라질까? 무엇을 더 배워야 할까? AI를 어떻게 더 잘 활용할 수 있을까? 그러나 홍진기 교수의 질문은 완전히 다른 궤적을 그린다. “왜 우리는 더 똑똑해졌는데 더 불안해졌는가. 정보는 넘치는데 왜 판단은 흔들리는가. 왜 같은 AI를 써도 어떤 사람은 더 깊어지고, 어떤 사람은 점점 얕아지는가.” 저자는 MIT 연구실과 CES 산업 현장, 그리고 연세대 강의실을 오가며 얻은 통찰을 바탕으로, 지금 우리 시대에 벌어지고 있는 가장 조용하고도 위험한 변화를 포착한다. 바로 ‘사고외주(思考外注)’다.</t>
        </is>
      </c>
      <c r="E96" t="inlineStr">
        <is>
          <t>홍진기</t>
        </is>
      </c>
      <c r="F96" t="inlineStr">
        <is>
          <t>어크로스</t>
        </is>
      </c>
      <c r="G96" t="inlineStr">
        <is>
          <t>2026-06-22</t>
        </is>
      </c>
      <c r="H96" t="n">
        <v>15000</v>
      </c>
      <c r="I96" t="n">
        <v>13500</v>
      </c>
      <c r="J96" t="n">
        <v>10</v>
      </c>
      <c r="K96" t="n">
        <v>0</v>
      </c>
      <c r="L96" t="n">
        <v>21</v>
      </c>
      <c r="M96" t="n">
        <v>9.529999999999999</v>
      </c>
      <c r="N96" t="inlineStr">
        <is>
          <t>인문</t>
        </is>
      </c>
      <c r="O96" t="inlineStr">
        <is>
          <t>https://contents.kyobobook.co.kr/sih/fit-in/200x0/pdt/9791167743091.jpg</t>
        </is>
      </c>
    </row>
    <row r="97">
      <c r="A97" t="inlineStr">
        <is>
          <t>S000220241621</t>
        </is>
      </c>
      <c r="B97" t="n">
        <v>96</v>
      </c>
      <c r="C97" t="inlineStr">
        <is>
          <t>2026 스티마 면접 지방직(공통편)</t>
        </is>
      </c>
      <c r="D97" t="inlineStr">
        <is>
          <t>공무원 면접은 꿈을 이루는 마지막 관문입니다.
힘든 경쟁률을 뚫고 밤잠을 설쳐가며 한 수험준비를 통해서 이제 면접이라는 최종 관문이 남았습니다. 성적이 1배수 안이나 1배수 커트라인이건, 성적이 필기 커트라인이건 ‘면접은 또 하나의 시험이다.’라는 간절함을 가지고 최선을 다하는 것이 정말 중요합니다.
공무원 면접은 누군가에게는 인생이 걸려 있는 문제입니다. 스티마쌤은 26년째 공무원 면접강의를 하였습니다. 이러한 노하우를 바탕으로 하여 공무원 수험생들이 올바른 면접준비를 하는 데 도움을 드리고자 교재를 집필하였으니 꼭 도움이 되었으면 좋겠습니다.
강의가 필요하시면 공단기(공무원 단기학원)에서 오프라인 및 온라인 강의를 통해 접하실 수 있습니다.
[지방직(공통편) 교재의 특징 및 강점]
지방직(공통편) 교재는 지방직공무원 7급과 9급 수험생을 위해 지방직공무원 면접특성을 고려하여 구성하였습니다. 지방직(공통편)은 지방광역시도, 인천광역시, 경기도 강의에 공통으로 적용되는 교재입니다.
1. 모든 지방직공무원 면접에서 핵심인 공직관, 경험형, 상황형, 개인신상 관련 질문과 사례를 중심으로 구성하였습니다. 또한 최근 사회이슈를 요약 정리하여 사회이슈에 문외한이라도 쉽게 요점을 파악하여 자신의 입장을 말할 수 있도록 하였습니다.
2. 해당 지역의 주요이슈, 면접 기출질문, 면접후기, 지역현황 및 현안을 수록하여 수험생들이 쉽게 지방직 면접을 준비하도록 하였습니다. 특히 지방직 면접에서는 지역에 대한 애정과 관심을 드러내는 전략이 중요합니다. 지원직렬에서 지역에 대한 열정을 어떻게 표현하는 것이 좋은지를 분석하여 지역현안과 이슈에서 정리를 하였으며 핵심 키워드를 통해 스스로 추가적인 정보를 찾아볼 수 있도록 하였습니다.
3. 최근 면접후기를 면밀하게 분석하여 수많은 사례를 바탕으로 실제 면접에 도움이 되도록 하였습니다. 공무원 면접 경향의 변화에 맞추어 새로운 질문과 답변 예시를 다수 제시함으로써 실제 스터디 등을 통해 연습할 수 있도록 하였습니다. 답변후기 중에서 잘된 사례 또는 부족한 사례를 보여줌으로써 면접을 어떻게 준비해야 하는지 어떻게 접근해야 하는지에 대해 방향을 제시하였습니다.
[지방직 공무원 면접에 대한 소개 및 학습전략]
공무원 면접에서는 말 잘하는 수험생을 뽑는 것이 아닙니다. 말이 조금은 어눌하더라도 진정성있게 자신의 강점과 역량 그리고 지역에 대한 애정을 듬뿍 드러내는 것이 중요합니다. 공무원의 의미와 공직가치에 대해 스스로 생각하고 어떤 질문이든 자신의 의견을 솔직하게 말하되 공직관을 가미하는 것이 공무원 면접에서는 좋은 평가를 받습니다.
또한 공직사회도 조직생활이므로 팀워크, 배려, 소통, 희생 등 조직적합성을 보여주어야 합니다. 조직에 잘 융화될 수 있음을 자신의 과거 단체활동 경험을 통해 제시할 수 있어야 합니다. 조직의 분위기를 밝게 할 수 있음을 보여준다면 금상첨화일 것입니다.
최근 지방직 공무원면접에서는 전문성과 창의성이 강조되고 있습니다. 직렬과 관련하여 기본적인 사항에 대해서는 알고 있어야 하며 관심있는 정책과 제안하고 싶은 정책도 준비가 필요합니다. 또한 창의성은 현대 공직사회가 필요로 하는 가치입니다. 창의행정이 공직사회의 경쟁력과 국민의 삶의 질을 높일 수 있기 때문입니다. 
마지막으로 인생에서 오는 3번의 기회 중 한 번이라고 생각하고 끝까지 최선을 다해 좋은 결과를 얻어서 공시생활을 끝내겠다는 마음으로 면접준비를 했으면 합니다.</t>
        </is>
      </c>
      <c r="E97" t="inlineStr">
        <is>
          <t>스티마</t>
        </is>
      </c>
      <c r="F97" t="inlineStr">
        <is>
          <t>박영사</t>
        </is>
      </c>
      <c r="G97" t="inlineStr">
        <is>
          <t>2026-06-20</t>
        </is>
      </c>
      <c r="H97" t="n">
        <v>29000</v>
      </c>
      <c r="I97" t="n">
        <v>29000</v>
      </c>
      <c r="J97" t="n">
        <v>0</v>
      </c>
      <c r="K97" t="n">
        <v>0</v>
      </c>
      <c r="L97" t="n">
        <v>3</v>
      </c>
      <c r="M97" t="n">
        <v>9.17</v>
      </c>
      <c r="N97" t="inlineStr">
        <is>
          <t>취업/수험서</t>
        </is>
      </c>
      <c r="O97" t="inlineStr">
        <is>
          <t>https://contents.kyobobook.co.kr/sih/fit-in/200x0/pdt/9791144200364.jpg</t>
        </is>
      </c>
    </row>
    <row r="98">
      <c r="A98" t="inlineStr">
        <is>
          <t>S000219930247</t>
        </is>
      </c>
      <c r="B98" t="n">
        <v>97</v>
      </c>
      <c r="C98" t="inlineStr">
        <is>
          <t>체력을 바꿔야 재력이 바뀐다</t>
        </is>
      </c>
      <c r="D98" t="inlineStr">
        <is>
          <t>2018년 출간하고 순위권에서 사라졌지만 2020년에 종합 베스트셀러 1위를 기록하며 전국 서점가를 역주행으로 강타했던 《하버드 상위 1퍼센트의 비밀》의 시리즈 완결판인 《체력을 바꿔야 재력이 바뀐다》가 출간되었다. 전작이 하버드 상위 1퍼센트들의 성공 현상을 다루었다면, 이번 작품에서는 그들이 어떻게 성공할 수 있었는가를 결과가 아니라 시작점에서부터 함께 출발한다.
이 책은 저자가 취재했던 하버드 상위 1퍼센트의 비밀과 사회학, 과학, 심리학의 최전선에서 가장 강력한 도구들을 사용하여 노력을 ‘유지’하는 것이 아니라 성공으로 ‘유도’하는 놀라운 세계 속으로 안내한다. 왜 주식시장과 가상 자산, 그리고 부동산들은 항상 급등의 패턴을 따를까? 왜 오늘날 과학기술들은 서서히 발전하는 것이 아니라 어느 순간 급진적으로 발달하며 AI로 압도하는 시대가 열릴까? 왜 끝난 줄 알았던 사람들이 혜성처럼 등장할까? 그 답은 바로 유도방출의 법칙에 있다.
유도방출은 과학자들이 원자 단계의 에너지 증폭 현상을 설명할 때 사용하는 개념으로, ‘우주의 모든 것은 원자로 이루어져 있다’는 과학자 리처드 파인만의 말처럼 세상을 압도할 수 있는 강력한 법칙이다. 당신의 노력이 성공으로 급등하기 위해서는 동기부여로 들떠야 하고(1단계), 그 들뜸을 유지해야 하고(2단계), 성공으로 유도해서(3단계), 강력하게 방출하기(4단계)를 거쳐야 한다. 평범한 사람들은 들뜨는 것은 잘하지만, 오직 1퍼센트만이 유지하고 유도하는 세계를 향해 전심전력으로 달려든다. 이 책에서는 작심삼일을 작심삼년으로 바꿔서 당신이 이루려는 단 하나를 압도적인 힘으로 해낼 마지막 해법을 제시한다.</t>
        </is>
      </c>
      <c r="E98" t="inlineStr">
        <is>
          <t>정주영</t>
        </is>
      </c>
      <c r="F98" t="inlineStr">
        <is>
          <t>메가믹스스튜디오</t>
        </is>
      </c>
      <c r="G98" t="inlineStr">
        <is>
          <t>2026-05-22</t>
        </is>
      </c>
      <c r="H98" t="n">
        <v>21000</v>
      </c>
      <c r="I98" t="n">
        <v>18900</v>
      </c>
      <c r="J98" t="n">
        <v>10</v>
      </c>
      <c r="K98" t="n">
        <v>0</v>
      </c>
      <c r="L98" t="n">
        <v>22</v>
      </c>
      <c r="M98" t="n">
        <v>9.710000000000001</v>
      </c>
      <c r="N98" t="inlineStr">
        <is>
          <t>자기계발</t>
        </is>
      </c>
      <c r="O98" t="inlineStr">
        <is>
          <t>https://contents.kyobobook.co.kr/sih/fit-in/200x0/pdt/9791198393425.jpg</t>
        </is>
      </c>
    </row>
    <row r="99">
      <c r="A99" t="inlineStr">
        <is>
          <t>S000219435754</t>
        </is>
      </c>
      <c r="B99" t="n">
        <v>98</v>
      </c>
      <c r="C99" t="inlineStr">
        <is>
          <t>이향인</t>
        </is>
      </c>
      <c r="D99" t="inlineStr">
        <is>
          <t>단체 채팅방의 새 알림을 읽지 않으면 불안해지고, '함께'라는 단어가 당연시 되는 사회. 집단주의 문화는 오랫동안 효율과 안정, 연대를 가능하게 했지만, 동시에 많은 사람을 지치게 해왔다. 정답처럼 제시되는 감정에 동의해야 하고, 분위기에 맞춰 자신의 감정과 리액션을 '수정'해야 하는 그 모든 순간, 우리는 차마 묻지 못한 질문이 하나 있다. "우리는 정말 이렇게까지 연결돼야 하는가."
이 책의 저자인 뉴욕의 저명한 정신과 의사 라미 카인스키 박사는 이 질문에 답하기 위해 하나의 이름을 제시한다. 바로 '이향인(오트로버트)'. 이향인은 사람을 싫어하는 이도, 사회성이 부족한 이도 아니다. 다만 에너지를 얻는 방식이 다르고, 안정감을 느끼는 구조도 다르며, 사고의 출발점이 ‘우리’가 아니라 ‘나’인 사람이다. 집단 속에 있을 때 오히려 더 외롭고, 혼자 있을 때 가장 자연스러워지는 사람. 모두가 옳다고 말할 때 한 걸음 물러서서 왜 옳은지 묻는 사람. 타인의 박수보다 자기 기준을 더 신뢰하는 사람. 
특히 한국 사회는 오랫동안 공동체 인간을 이상형으로 제시해왔다. 소속, 협동, 팀워크, 관계 관리 능력은 미덕이었고, 집단에 잘 녹아드는 사람은 모범적으로 여겼다. 그 안에서 이향인은 종종 오해받았다. 소극적이라고, 차갑다고, 적응력이 부족하다고. 그러나 이 책의 저자는 말한다. 그것은 결핍이 아니라 엄연히 다른 '구조'라고. 고쳐야 할 성향이 아니라 이해되어야 할 기질이라고.
이향인은 특정 집단에 대한 강한 소속감으로 정체성을 형성하지 않는다. 회사, 각종 커뮤니티 같은 공동체적 상징에 애착을 느끼지 않으며, 대체로 ‘비참여자’의 위치에서 세상을 관찰한다. 타인의 기대에 맞춰 어울리는 것보다는 자신의 내면을 지키는 쪽을 택한다. 겉으로는 온순해 보일 수 있지만, 내면에는 집단의 강요에 대한 은밀한 저항과 독립성이 존재한다. 
이 책은 단순히 이향인을 위한 변명이 아니다. 오히려 집단주의에 피로감을 느끼는 이들에게 건네는 또 하나의 언어다. 함께하기를 강요하는 세상에서 조용히 나만의 삶을 꾸려가는 법. 연결이 기준이 된 시대에, 나만의 고독을 지켜내는 힘을 안내한다. 무엇보다 나 자신에 대한 자책 대신 '다른 방식으로 나답게 살아도 된다'라는 자신에 대한 이해로 나아가게 하는 언어다. 이 책은 그 가능성을 진지하게, 그리고 따뜻하게 제안한다.</t>
        </is>
      </c>
      <c r="E99" t="inlineStr">
        <is>
          <t>라미 카민스키</t>
        </is>
      </c>
      <c r="F99" t="inlineStr">
        <is>
          <t>21세기북스</t>
        </is>
      </c>
      <c r="G99" t="inlineStr">
        <is>
          <t>2026-03-25</t>
        </is>
      </c>
      <c r="H99" t="n">
        <v>16900</v>
      </c>
      <c r="I99" t="n">
        <v>15210</v>
      </c>
      <c r="J99" t="n">
        <v>10</v>
      </c>
      <c r="K99" t="n">
        <v>0</v>
      </c>
      <c r="L99" t="n">
        <v>135</v>
      </c>
      <c r="M99" t="n">
        <v>9.539999999999999</v>
      </c>
      <c r="N99" t="inlineStr">
        <is>
          <t>인문</t>
        </is>
      </c>
      <c r="O99" t="inlineStr">
        <is>
          <t>https://contents.kyobobook.co.kr/sih/fit-in/200x0/pdt/9791173578601.jpg</t>
        </is>
      </c>
    </row>
    <row r="100">
      <c r="A100" t="inlineStr">
        <is>
          <t>S000218967769</t>
        </is>
      </c>
      <c r="B100" t="n">
        <v>99</v>
      </c>
      <c r="C100" t="inlineStr">
        <is>
          <t>EBS 수능특강 영어영역 영어독해연습(2026)(2027 수능대비)</t>
        </is>
      </c>
      <c r="D100" t="inlineStr">
        <is>
          <t>[EBS와 함께 수능특강 연계 완전 정복 커리큘럼]
① 수능특강: 교육과정 핵심 내용과 최신 수능 경향을 반영한 수능 대비 필수 기본서, 2027학년도 수능 시험을 준비하는 학생이라면 반드시 봐야 할 교재
② 수능특강 사용설명서: 출제자가 직접 분석한 가장 정확한 첨삭 지도서, 수능특강을 공부하는 가장 쉽고 빠른 방법
③ 수능특강 문학 연계 기출: 수능특강 문학과의 완벽한 시너지, 수능특강 지문과 유사도가 높은 기출문제로 간접 연계와 비연계 동시 대비
④ 수능연계교재의 VOCA 1800: 어휘로 판가름 나는 수능 영어 등급, 연계교재의 중요·핵심 어휘를 한 권으로 완성
⑤ 수능연계 기출 Vaccine VOCA 2200: 40일 단기간에 완성하는 수능 어휘 학습, 최고 빈출·중요 어휘 2,200단어를 선별하여 수록한 수능 영단어장의 끝판왕
[단 한번의 수능을 위한 실전 모의고사 커리큘럼]
(1) FINAL 실전 모의고사(5월 발행) ▶ 만점마무리 봉투모의고사 시즌1(6월 발행) ▶ 만점마무리 봉투모의고사 시즌2 고난도(8월 발행) ▶ 고난도 논스톱 봉투모의고사(9월 발행) ▶ 수능 직전보강 클리어 봉투모의고사(9월 발행)
(2) EBS eBook 전용 『버티컬 모의고사』 시즌1~4
EBSi 사이트에서 전 교재 무료 강의를 제공합니다.</t>
        </is>
      </c>
      <c r="E100" t="inlineStr">
        <is>
          <t>EBS교육방송 편집부</t>
        </is>
      </c>
      <c r="F100" t="inlineStr">
        <is>
          <t>한국교육방송공사(EBSi)</t>
        </is>
      </c>
      <c r="G100" t="inlineStr">
        <is>
          <t>2026-01-20</t>
        </is>
      </c>
      <c r="H100" t="n">
        <v>13500</v>
      </c>
      <c r="I100" t="n">
        <v>12150</v>
      </c>
      <c r="J100" t="n">
        <v>10</v>
      </c>
      <c r="K100" t="n">
        <v>0</v>
      </c>
      <c r="L100" t="n">
        <v>533</v>
      </c>
      <c r="M100" t="n">
        <v>9.859999999999999</v>
      </c>
      <c r="N100" t="inlineStr">
        <is>
          <t>중/고등참고서</t>
        </is>
      </c>
      <c r="O100" t="inlineStr">
        <is>
          <t>https://contents.kyobobook.co.kr/sih/fit-in/200x0/pdt/9788954798198.jpg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2026-07-16T07:40:48Z</dcterms:created>
  <dcterms:modified xmlns:dcterms="http://purl.org/dc/terms/" xmlns:xsi="http://www.w3.org/2001/XMLSchema-instance" xsi:type="dcterms:W3CDTF">2026-07-16T07:40:48Z</dcterms:modified>
</cp:coreProperties>
</file>