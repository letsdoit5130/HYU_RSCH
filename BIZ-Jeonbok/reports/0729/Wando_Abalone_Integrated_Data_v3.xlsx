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0db54fbfb9dbff/1.HaeYu/HYU_RSCH/BIZ-Jeonbok/reports/"/>
    </mc:Choice>
  </mc:AlternateContent>
  <xr:revisionPtr revIDLastSave="4" documentId="11_B0DCDDBF89727FC1F5649AF18DA3C5299232B368" xr6:coauthVersionLast="47" xr6:coauthVersionMax="47" xr10:uidLastSave="{EB249A69-E61C-4C72-B3AC-C130ABD4A6C7}"/>
  <bookViews>
    <workbookView xWindow="48" yWindow="360" windowWidth="11256" windowHeight="8880" firstSheet="1" activeTab="2" xr2:uid="{00000000-000D-0000-FFFF-FFFF00000000}"/>
  </bookViews>
  <sheets>
    <sheet name="Summary_KPI" sheetId="1" r:id="rId1"/>
    <sheet name="Export_Pricing" sheetId="2" r:id="rId2"/>
    <sheet name="Product_Star_Strategy" sheetId="3" r:id="rId3"/>
    <sheet name="Product_Top_Buyers_DB" sheetId="4" r:id="rId4"/>
    <sheet name="Business_Playboo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2" i="2"/>
  <c r="F11" i="2"/>
  <c r="F10" i="2"/>
  <c r="F9" i="2"/>
  <c r="F8" i="2"/>
  <c r="F7" i="2"/>
  <c r="F6" i="2"/>
  <c r="F5" i="2"/>
  <c r="F4" i="2"/>
  <c r="H13" i="2" l="1"/>
  <c r="H12" i="2"/>
  <c r="H11" i="2"/>
  <c r="H10" i="2"/>
  <c r="H9" i="2"/>
  <c r="H8" i="2"/>
  <c r="H7" i="2"/>
  <c r="H6" i="2"/>
  <c r="H5" i="2"/>
  <c r="H4" i="2"/>
  <c r="G6" i="2" l="1"/>
  <c r="G7" i="2"/>
  <c r="G11" i="2"/>
  <c r="G12" i="2"/>
  <c r="G5" i="2"/>
  <c r="G8" i="2"/>
  <c r="G10" i="2"/>
  <c r="G9" i="2"/>
  <c r="G4" i="2"/>
  <c r="G13" i="2"/>
</calcChain>
</file>

<file path=xl/sharedStrings.xml><?xml version="1.0" encoding="utf-8"?>
<sst xmlns="http://schemas.openxmlformats.org/spreadsheetml/2006/main" count="296" uniqueCount="251">
  <si>
    <t>완도 전복 글로벌 무역 EDA 및 시장 개척 KPI 총괄</t>
  </si>
  <si>
    <t>지표 항목 (KPI)</t>
  </si>
  <si>
    <t>수치 (Value)</t>
  </si>
  <si>
    <t>단위 (Unit)</t>
  </si>
  <si>
    <t>비고 (Notes)</t>
  </si>
  <si>
    <t>데이터 출처</t>
  </si>
  <si>
    <t>전체 분석 데이터 수</t>
  </si>
  <si>
    <t>건</t>
  </si>
  <si>
    <t>UN Comtrade 글로벌 수산 데이터</t>
  </si>
  <si>
    <t>BIZ-JB-Gathered.csv</t>
  </si>
  <si>
    <t>총 무역 거래 금액</t>
  </si>
  <si>
    <t>USD</t>
  </si>
  <si>
    <t>2021~2025년 누적 무역액</t>
  </si>
  <si>
    <t>UN Comtrade</t>
  </si>
  <si>
    <t>총 무역 물동량</t>
  </si>
  <si>
    <t>kg</t>
  </si>
  <si>
    <t>2021~2025년 누적 순중량</t>
  </si>
  <si>
    <t>수입(Import) 거래 비중</t>
  </si>
  <si>
    <t>%</t>
  </si>
  <si>
    <t>수입 신고 데이터 중심</t>
  </si>
  <si>
    <t>전복 평균 단가</t>
  </si>
  <si>
    <t>$/kg</t>
  </si>
  <si>
    <t>가공품 및 생물 전체 평균</t>
  </si>
  <si>
    <t>EDA Result</t>
  </si>
  <si>
    <t>전복 단가 중앙값</t>
  </si>
  <si>
    <t>중간 등급 일반 유통 단가</t>
  </si>
  <si>
    <t>최고 수출 단가</t>
  </si>
  <si>
    <t>초고가 건전복 최고 등급</t>
  </si>
  <si>
    <t>대한민국 수출 실적</t>
  </si>
  <si>
    <t>전 세계 유일의 대규모 순수출국</t>
  </si>
  <si>
    <t>홍콩 수입 시장 규모</t>
  </si>
  <si>
    <t>단일 세계 최대 전복 수입 시장</t>
  </si>
  <si>
    <t>1인 상사 1년차 목표 매출</t>
  </si>
  <si>
    <t>약 4억 원 달성 목표</t>
  </si>
  <si>
    <t>Implementation Plan</t>
  </si>
  <si>
    <t>완도 전복 국가별/품목별 FOB &amp; CIF 수출 가격 계산 모델</t>
  </si>
  <si>
    <t>No</t>
  </si>
  <si>
    <t>타겟 국가</t>
  </si>
  <si>
    <t>타겟 품목 및 규격 (데이터셋 HS Code)</t>
  </si>
  <si>
    <t>EXW 산지원가 ($)</t>
  </si>
  <si>
    <t>물류/포장비 ($)</t>
  </si>
  <si>
    <t>FOB 가격 ($)</t>
  </si>
  <si>
    <t>CIF 가격 ($)</t>
  </si>
  <si>
    <t>마진율 (%)</t>
  </si>
  <si>
    <t>비고</t>
  </si>
  <si>
    <t>홍콩</t>
  </si>
  <si>
    <t>활전복 (7~8미/kg, HS 030781)</t>
  </si>
  <si>
    <t>추천 가격 적용</t>
  </si>
  <si>
    <t>명품 건전복 (25미/500g, HS 030781)</t>
  </si>
  <si>
    <t>싱가포르</t>
  </si>
  <si>
    <t>활전복 (10~12미/kg, HS 030781)</t>
  </si>
  <si>
    <t>미국</t>
  </si>
  <si>
    <t>전복 통조림 (4미/400g, HS 160557)</t>
  </si>
  <si>
    <t>자숙 냉동전복 파우치 (1kg, HS 160557)</t>
  </si>
  <si>
    <t>캐나다</t>
  </si>
  <si>
    <t>전복 통조림 (굴소스 400g, HS 160557)</t>
  </si>
  <si>
    <t>일본</t>
  </si>
  <si>
    <t>횟감용 자숙전복 (10미/kg, HS 030783)</t>
  </si>
  <si>
    <t>베트남</t>
  </si>
  <si>
    <t>호주</t>
  </si>
  <si>
    <t>프랑스</t>
  </si>
  <si>
    <t>전복 내장 가공품 (200g, HS 160557)</t>
  </si>
  <si>
    <t>품목별 Star &amp; Rising Star 타겟 시장 및 BIZ-JB-Gathered.csv 수록 HS CODE</t>
  </si>
  <si>
    <t>품목 분류 (데이터셋 수록 HS Code)</t>
  </si>
  <si>
    <t>Star 시장 (주력)</t>
  </si>
  <si>
    <t>Rising Star 시장 (신흥)</t>
  </si>
  <si>
    <t>Cash Cow / Selective</t>
  </si>
  <si>
    <t>핵심 물류/포장 방식</t>
  </si>
  <si>
    <t>추천 CIF 단가 ($)</t>
  </si>
  <si>
    <t>1. 활전복 (Live, HS 030781)</t>
  </si>
  <si>
    <t>홍콩, 싱가포르, 마카오</t>
  </si>
  <si>
    <t>베트남 (호치민/하노이), 대만</t>
  </si>
  <si>
    <t>일본 (Sub-Star)</t>
  </si>
  <si>
    <t>항공 (Air) 산소 주입 해수 팩</t>
  </si>
  <si>
    <t>$31.00~$45.00 / kg</t>
  </si>
  <si>
    <t>2. 명품 건전복 (Dried, HS 030781)</t>
  </si>
  <si>
    <t>홍콩, 마카오, 광동성</t>
  </si>
  <si>
    <t>말레이시아 (KL), 미국 (중화권)</t>
  </si>
  <si>
    <t>싱가포르 (Cash Cow)</t>
  </si>
  <si>
    <t>항공/해상 하드케이스 선물세트</t>
  </si>
  <si>
    <t>$142.00 / 500g</t>
  </si>
  <si>
    <t>3. 통조림 &amp; 파우치 (HS 160557)</t>
  </si>
  <si>
    <t>미국, 캐나다 (Cash Cow)</t>
  </si>
  <si>
    <t>호주 (시드니), 영국/독일</t>
  </si>
  <si>
    <t>중국 (대량 유통)</t>
  </si>
  <si>
    <t>해상 (Sea) 400g 캔 / 1kg 파우치</t>
  </si>
  <si>
    <t>$14.30/캔, $26.80/kg</t>
  </si>
  <si>
    <t>4. 횟감용 IQF 냉동전복 (HS 030783)</t>
  </si>
  <si>
    <t>일본 (도쿄/오사카)</t>
  </si>
  <si>
    <t>베트남, 태국, 호주</t>
  </si>
  <si>
    <t>유럽 (Selective)</t>
  </si>
  <si>
    <t>해상/항공 IQF 개별급속동결</t>
  </si>
  <si>
    <t>$30.00 / kg</t>
  </si>
  <si>
    <t>5. 전복 내장소스 / 가공품 (HS 160557)</t>
  </si>
  <si>
    <t>미국 (메인스트림)</t>
  </si>
  <si>
    <t>프랑스, 네덜란드, 이탈리아</t>
  </si>
  <si>
    <t>말레이시아</t>
  </si>
  <si>
    <t>해상 유리병 / 레토르트 파우치</t>
  </si>
  <si>
    <t>$12.50 / 병 (200g)</t>
  </si>
  <si>
    <t>품목별 Top 국가 잠재고객사 / 수산 전문 바이어 종합 DB (20개사)</t>
  </si>
  <si>
    <t>품목 분류 (데이터셋 HS Code)</t>
  </si>
  <si>
    <t>Top 타겟 국가</t>
  </si>
  <si>
    <t>잠재고객사 (바이어 사명)</t>
  </si>
  <si>
    <t>유통 채널 / 형태</t>
  </si>
  <si>
    <t>웹사이트</t>
  </si>
  <si>
    <t>이메일 / 연락처</t>
  </si>
  <si>
    <t>타겟 구매 품목 &amp; CIF 단가</t>
  </si>
  <si>
    <t>1. 활전복 (HS 030781)</t>
  </si>
  <si>
    <t>홍콩 (Star)</t>
  </si>
  <si>
    <t>On Kee Dry Seafood (安記海味)</t>
  </si>
  <si>
    <t>수산 도매 / 파인다이닝</t>
  </si>
  <si>
    <t>https://www.onkee.com</t>
  </si>
  <si>
    <t>info@onkee.com / +852 2544 0008</t>
  </si>
  <si>
    <t>7~8미/kg 활전복 ($33.50/kg CIF)</t>
  </si>
  <si>
    <t>싱가포르 (Star)</t>
  </si>
  <si>
    <t>Singapore Gourmet Express</t>
  </si>
  <si>
    <t>프리미엄 수산 임포터</t>
  </si>
  <si>
    <t>https://www.gourmetexpress.sg</t>
  </si>
  <si>
    <t>sales@gourmetexpress.sg / +65 6744 1166</t>
  </si>
  <si>
    <t>10~12미/kg 활전복 ($31.00/kg CIF)</t>
  </si>
  <si>
    <t>베트남 (Rising)</t>
  </si>
  <si>
    <t>Royal Seafood (Hải Sản Hoàng Gia)</t>
  </si>
  <si>
    <t>고급 활수산 프랜차이즈</t>
  </si>
  <si>
    <t>https://haisanhoanggia.com</t>
  </si>
  <si>
    <t>info@haisanhoanggia.com / +84 906 289 499</t>
  </si>
  <si>
    <t>10~12미/kg 활전복 ($29.50/kg CIF)</t>
  </si>
  <si>
    <t>마카오 (Star)</t>
  </si>
  <si>
    <t>New Yaohan Premium Supermarket</t>
  </si>
  <si>
    <t>카지노 / 호텔 럭셔리 유통</t>
  </si>
  <si>
    <t>https://www.newyaohan.com</t>
  </si>
  <si>
    <t>enquiry@newyaohan.com / +853 2872 5338</t>
  </si>
  <si>
    <t>7~8미/kg 대형 활전복 ($35.00/kg CIF)</t>
  </si>
  <si>
    <t>2. 명품 건전복 (HS 030781)</t>
  </si>
  <si>
    <t>Kee Wah Bakery &amp; Trading Co.</t>
  </si>
  <si>
    <t>보양 선물세트 / 명절 유통</t>
  </si>
  <si>
    <t>https://www.keewah.com</t>
  </si>
  <si>
    <t>cs@keewah.com / +852 2785 6066</t>
  </si>
  <si>
    <t>25~30미/500g 건전복 ($142.00/500g CIF)</t>
  </si>
  <si>
    <t>Thye Shan Medical Hall</t>
  </si>
  <si>
    <t>전통 한약방 / 보양재상</t>
  </si>
  <si>
    <t>https://www.thyeshan.com</t>
  </si>
  <si>
    <t>info@thyeshan.com / +65 6223 2038</t>
  </si>
  <si>
    <t>25~30미/500g 건전복 ($140.00/500g CIF)</t>
  </si>
  <si>
    <t>말레이시아 (Rising)</t>
  </si>
  <si>
    <t>Eu Yan Sang Malaysia (余仁生)</t>
  </si>
  <si>
    <t>동남아 최대 중화 보양 체인</t>
  </si>
  <si>
    <t>https://www.euyansang.com.my</t>
  </si>
  <si>
    <t>info@euyansang.com.my / +60 3 2118 6888</t>
  </si>
  <si>
    <t>30미/500g 건전복 ($138.00/500g CIF)</t>
  </si>
  <si>
    <t>미국 (Rising)</t>
  </si>
  <si>
    <t>Wing Hop Fung (永合豐)</t>
  </si>
  <si>
    <t>미서부 최대 중화 보양 체인</t>
  </si>
  <si>
    <t>https://www.winghopfung.com</t>
  </si>
  <si>
    <t>info@winghopfung.com / +1 626 285 6838</t>
  </si>
  <si>
    <t>20~25미/500g 건전복 ($145.00/500g CIF)</t>
  </si>
  <si>
    <t>미국 (Cash Cow)</t>
  </si>
  <si>
    <t>H Mart Commercial Division</t>
  </si>
  <si>
    <t>대형 아시안 마트 체인</t>
  </si>
  <si>
    <t>https://www.hmart.com</t>
  </si>
  <si>
    <t>b2b@hmart.com</t>
  </si>
  <si>
    <t>4미 굴소스 통조림 ($14.30/캔 CIF)</t>
  </si>
  <si>
    <t>캐나다 (Cash Cow)</t>
  </si>
  <si>
    <t>T&amp;T Supermarket Inc.</t>
  </si>
  <si>
    <t>대형 캐나다 아시안 마트</t>
  </si>
  <si>
    <t>https://www.tntsupermarket.com</t>
  </si>
  <si>
    <t>customer.service@tntsupermarket.com</t>
  </si>
  <si>
    <t>4미 굴소스 통조림 ($14.20/캔 CIF)</t>
  </si>
  <si>
    <t>Ocean Beauty Seafoods LLC</t>
  </si>
  <si>
    <t>HORECA 대형 수산 벤더</t>
  </si>
  <si>
    <t>https://www.oceanbeauty.com</t>
  </si>
  <si>
    <t>info@oceanbeauty.com / +1 208 344 1600</t>
  </si>
  <si>
    <t>1kg 자숙전복 파우치 ($26.80/kg CIF)</t>
  </si>
  <si>
    <t>호주 (Rising)</t>
  </si>
  <si>
    <t>Woolworths Asian Procurement</t>
  </si>
  <si>
    <t>오세아니아 대형 리테일</t>
  </si>
  <si>
    <t>https://www.woolworths.com.au</t>
  </si>
  <si>
    <t>customer@woolworths.com.au</t>
  </si>
  <si>
    <t>4미 굴소스 통조림 ($15.00/캔 CIF)</t>
  </si>
  <si>
    <t>4. 횟감용 IQF 냉동 (HS 030783)</t>
  </si>
  <si>
    <t>일본 (Star)</t>
  </si>
  <si>
    <t>True World Foods Japan Co., Ltd.</t>
  </si>
  <si>
    <t>일식 스시 / 사시미 벤더</t>
  </si>
  <si>
    <t>https://www.trueworldfoods.co.jp</t>
  </si>
  <si>
    <t>japaninfo@trueworldfoods.com</t>
  </si>
  <si>
    <t>10미/kg 횟감 IQF ($30.00/kg CIF)</t>
  </si>
  <si>
    <t>호주 (Cash Cow)</t>
  </si>
  <si>
    <t>De Costi Seafoods (Tassal Group)</t>
  </si>
  <si>
    <t>오세아니아 최대 수산 유통</t>
  </si>
  <si>
    <t>https://www.decosti.com.au</t>
  </si>
  <si>
    <t>info@decosti.com.au / +61 2 9649 7699</t>
  </si>
  <si>
    <t>In-shell 냉동전복 ($28.50/kg CIF)</t>
  </si>
  <si>
    <t>Yamamoto Seafoods Vietnam</t>
  </si>
  <si>
    <t>일식 퓨전 뷔페 유통사</t>
  </si>
  <si>
    <t>https://www.yamamotoseafood.vn</t>
  </si>
  <si>
    <t>info@yamamotoseafood.vn</t>
  </si>
  <si>
    <t>Shell-off IQF 냉동전복 ($29.00/kg CIF)</t>
  </si>
  <si>
    <t>태국 (Rising)</t>
  </si>
  <si>
    <t>Central Food Retail (Tops Super)</t>
  </si>
  <si>
    <t>태국 프리미엄 수산 유통</t>
  </si>
  <si>
    <t>https://www.tops.co.th</t>
  </si>
  <si>
    <t>cpr@central.co.th / +66 2 831 7300</t>
  </si>
  <si>
    <t>In-shell IQF 냉동전복 ($29.50/kg CIF)</t>
  </si>
  <si>
    <t>5. 전복 내장소스 (HS 160557)</t>
  </si>
  <si>
    <t>프랑스 (Rising)</t>
  </si>
  <si>
    <t>Maison Plisson / Gourmet Food</t>
  </si>
  <si>
    <t>파리 프리미엄 시푸드 델리</t>
  </si>
  <si>
    <t>https://www.lamaisonplisson.com</t>
  </si>
  <si>
    <t>contact@lamaisonplisson.com</t>
  </si>
  <si>
    <t>200g 유리병 게우소스 ($12.50/병 CIF)</t>
  </si>
  <si>
    <t>네덜란드 (Rising)</t>
  </si>
  <si>
    <t>Schmidt Zeevis Rotterdam</t>
  </si>
  <si>
    <t>네덜란드 최고급 수산 델리</t>
  </si>
  <si>
    <t>https://www.schmidtzeevis.nl</t>
  </si>
  <si>
    <t>info@schmidtzeevis.nl / +31 10 444 3555</t>
  </si>
  <si>
    <t>200g 유리병 / 1kg 파우치 ($12.80/병)</t>
  </si>
  <si>
    <t>이탈리아 (Rising)</t>
  </si>
  <si>
    <t>Eataly Seafood Procurement</t>
  </si>
  <si>
    <t>글로벌 프리미엄 식자재</t>
  </si>
  <si>
    <t>https://www.eataly.net</t>
  </si>
  <si>
    <t>info@eataly.it / +39 011 1950 6801</t>
  </si>
  <si>
    <t>200g 전복 내장 소스 ($13.00/병 CIF)</t>
  </si>
  <si>
    <t>Trader Joe's Specialty Sourcing</t>
  </si>
  <si>
    <t>미국 내쇼날 스페셜티 유통</t>
  </si>
  <si>
    <t>https://www.traderjoes.com</t>
  </si>
  <si>
    <t>customer@traderjoes.com</t>
  </si>
  <si>
    <t>200g 레토르트 파우치 소스 ($12.00/파우치)</t>
  </si>
  <si>
    <t>1인 종합상사 실전 비즈니스 파이프라인 &amp; 5단계 액션 플레이북</t>
  </si>
  <si>
    <t>실전 단계 (Step)</t>
  </si>
  <si>
    <t>액션 제목 (Action Title)</t>
  </si>
  <si>
    <t>세부 실행 내용 (Execution Details)</t>
  </si>
  <si>
    <t>핵심 성공 요인 (KPI / Key Factors)</t>
  </si>
  <si>
    <t>Step 1 / Action 1</t>
  </si>
  <si>
    <t>Cold Outreach &amp; Pitching</t>
  </si>
  <si>
    <t>Top 20 바이어 담당자 대상 영문/중문 제안서 송부</t>
  </si>
  <si>
    <t>현지 시세 대비 15% 우위 단가 + 폐사율 3% 보증 + 50kg MOQ 오퍼</t>
  </si>
  <si>
    <t>Step 2 / Action 2</t>
  </si>
  <si>
    <t>Sample Shipping &amp; Testing</t>
  </si>
  <si>
    <t>10kg 산소주입 활전복 팩 Air Express 송부 / 통조림 1박스 수송</t>
  </si>
  <si>
    <t>24시간 도착 후 생존율, 수율(Meat Yield), 멸균 품질 검증서 승인</t>
  </si>
  <si>
    <t>Step 3 / Action 3</t>
  </si>
  <si>
    <t>Contract &amp; Financial Term</t>
  </si>
  <si>
    <t>신규 거래처 T/T 30% Deposit + 70% B/L Copy / 대형사 L/C at Sight</t>
  </si>
  <si>
    <t>무조건부 일람출급 신용장(L/C) 활용으로 대금 회수 리스크 100% 차단</t>
  </si>
  <si>
    <t>Step 4 / Action 4</t>
  </si>
  <si>
    <t>Compliance &amp; Customs Clearance</t>
  </si>
  <si>
    <t>미국 FDA Prior Notice, 베트남 한-베 FTA C/O, 유럽 EU 위생허가</t>
  </si>
  <si>
    <t>베트남 관세 0% C/O 발급 및 미국 FDA 사전통보 승인 연동</t>
  </si>
  <si>
    <t>Step 5 / Action 5</t>
  </si>
  <si>
    <t>Re-order &amp; Seasonality Supply</t>
  </si>
  <si>
    <t>춘절/중추절 3개월 전 명품 건전복 계약, 북미 연말 통조림 FCL 발주</t>
  </si>
  <si>
    <t>계절별 수급 파이프라인 구축을 통한 바이어 LTV 극대화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</si>
</sst>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\$#,##0.00"/>
    <numFmt numFmtId="177" formatCode="0.0%"/>
  </numFmts>
  <fonts count="4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C8F"/>
        <bgColor rgb="FF2B5C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/>
    <xf numFmtId="17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1" defaultTableStyle="TableStyleMedium9" defaultPivotStyle="PivotStyleLight16">
    <tableStyle name="Invisible" pivot="0" table="0" count="0" xr9:uid="{1B10782B-266E-4738-B8E2-14D45D4D06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sqref="A1:E1"/>
    </sheetView>
  </sheetViews>
  <sheetFormatPr defaultRowHeight="17.399999999999999" x14ac:dyDescent="0.4"/>
  <cols>
    <col min="1" max="1" width="34" customWidth="1"/>
    <col min="2" max="2" width="13" customWidth="1"/>
    <col min="3" max="3" width="12" customWidth="1"/>
    <col min="4" max="4" width="25" customWidth="1"/>
    <col min="5" max="5" width="22" customWidth="1"/>
  </cols>
  <sheetData>
    <row r="1" spans="1:5" ht="21" x14ac:dyDescent="0.4">
      <c r="A1" s="8" t="s">
        <v>0</v>
      </c>
      <c r="B1" s="9"/>
      <c r="C1" s="9"/>
      <c r="D1" s="9"/>
      <c r="E1" s="9"/>
    </row>
    <row r="3" spans="1:5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4">
      <c r="A4" s="2" t="s">
        <v>6</v>
      </c>
      <c r="B4" s="3">
        <v>5400</v>
      </c>
      <c r="C4" s="4" t="s">
        <v>7</v>
      </c>
      <c r="D4" s="2" t="s">
        <v>8</v>
      </c>
      <c r="E4" s="4" t="s">
        <v>9</v>
      </c>
    </row>
    <row r="5" spans="1:5" x14ac:dyDescent="0.4">
      <c r="A5" s="2" t="s">
        <v>10</v>
      </c>
      <c r="B5" s="3">
        <v>5209010000</v>
      </c>
      <c r="C5" s="4" t="s">
        <v>11</v>
      </c>
      <c r="D5" s="2" t="s">
        <v>12</v>
      </c>
      <c r="E5" s="4" t="s">
        <v>13</v>
      </c>
    </row>
    <row r="6" spans="1:5" x14ac:dyDescent="0.4">
      <c r="A6" s="2" t="s">
        <v>14</v>
      </c>
      <c r="B6" s="3">
        <v>271250000</v>
      </c>
      <c r="C6" s="4" t="s">
        <v>15</v>
      </c>
      <c r="D6" s="2" t="s">
        <v>16</v>
      </c>
      <c r="E6" s="4" t="s">
        <v>13</v>
      </c>
    </row>
    <row r="7" spans="1:5" x14ac:dyDescent="0.4">
      <c r="A7" s="2" t="s">
        <v>17</v>
      </c>
      <c r="B7" s="5">
        <v>0.94099999999999995</v>
      </c>
      <c r="C7" s="4" t="s">
        <v>18</v>
      </c>
      <c r="D7" s="2" t="s">
        <v>19</v>
      </c>
      <c r="E7" s="4" t="s">
        <v>13</v>
      </c>
    </row>
    <row r="8" spans="1:5" x14ac:dyDescent="0.4">
      <c r="A8" s="2" t="s">
        <v>20</v>
      </c>
      <c r="B8" s="5">
        <v>33.03</v>
      </c>
      <c r="C8" s="4" t="s">
        <v>21</v>
      </c>
      <c r="D8" s="2" t="s">
        <v>22</v>
      </c>
      <c r="E8" s="4" t="s">
        <v>23</v>
      </c>
    </row>
    <row r="9" spans="1:5" x14ac:dyDescent="0.4">
      <c r="A9" s="2" t="s">
        <v>24</v>
      </c>
      <c r="B9" s="5">
        <v>16.02</v>
      </c>
      <c r="C9" s="4" t="s">
        <v>21</v>
      </c>
      <c r="D9" s="2" t="s">
        <v>25</v>
      </c>
      <c r="E9" s="4" t="s">
        <v>23</v>
      </c>
    </row>
    <row r="10" spans="1:5" x14ac:dyDescent="0.4">
      <c r="A10" s="2" t="s">
        <v>26</v>
      </c>
      <c r="B10" s="5">
        <v>2284</v>
      </c>
      <c r="C10" s="4" t="s">
        <v>21</v>
      </c>
      <c r="D10" s="2" t="s">
        <v>27</v>
      </c>
      <c r="E10" s="4" t="s">
        <v>23</v>
      </c>
    </row>
    <row r="11" spans="1:5" x14ac:dyDescent="0.4">
      <c r="A11" s="2" t="s">
        <v>28</v>
      </c>
      <c r="B11" s="3">
        <v>581395000</v>
      </c>
      <c r="C11" s="4" t="s">
        <v>11</v>
      </c>
      <c r="D11" s="2" t="s">
        <v>29</v>
      </c>
      <c r="E11" s="4" t="s">
        <v>13</v>
      </c>
    </row>
    <row r="12" spans="1:5" x14ac:dyDescent="0.4">
      <c r="A12" s="2" t="s">
        <v>30</v>
      </c>
      <c r="B12" s="3">
        <v>1283200000</v>
      </c>
      <c r="C12" s="4" t="s">
        <v>11</v>
      </c>
      <c r="D12" s="2" t="s">
        <v>31</v>
      </c>
      <c r="E12" s="4" t="s">
        <v>13</v>
      </c>
    </row>
    <row r="13" spans="1:5" x14ac:dyDescent="0.4">
      <c r="A13" s="2" t="s">
        <v>32</v>
      </c>
      <c r="B13" s="3">
        <v>300000</v>
      </c>
      <c r="C13" s="4" t="s">
        <v>11</v>
      </c>
      <c r="D13" s="2" t="s">
        <v>33</v>
      </c>
      <c r="E13" s="4" t="s">
        <v>34</v>
      </c>
    </row>
  </sheetData>
  <mergeCells count="1">
    <mergeCell ref="A1:E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sqref="A1:I1"/>
    </sheetView>
  </sheetViews>
  <sheetFormatPr defaultRowHeight="17.399999999999999" x14ac:dyDescent="0.4"/>
  <cols>
    <col min="1" max="1" width="38" customWidth="1"/>
    <col min="2" max="2" width="12" customWidth="1"/>
    <col min="3" max="3" width="31" customWidth="1"/>
    <col min="4" max="4" width="15" customWidth="1"/>
    <col min="5" max="5" width="13" customWidth="1"/>
    <col min="6" max="6" width="28" customWidth="1"/>
    <col min="7" max="7" width="23" customWidth="1"/>
    <col min="8" max="8" width="21" customWidth="1"/>
    <col min="9" max="9" width="12" customWidth="1"/>
  </cols>
  <sheetData>
    <row r="1" spans="1:9" ht="21" x14ac:dyDescent="0.4">
      <c r="A1" s="8" t="s">
        <v>35</v>
      </c>
      <c r="B1" s="9"/>
      <c r="C1" s="9"/>
      <c r="D1" s="9"/>
      <c r="E1" s="9"/>
      <c r="F1" s="9"/>
      <c r="G1" s="9"/>
      <c r="H1" s="9"/>
      <c r="I1" s="9"/>
    </row>
    <row r="3" spans="1:9" x14ac:dyDescent="0.4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</row>
    <row r="4" spans="1:9" x14ac:dyDescent="0.4">
      <c r="A4">
        <v>1</v>
      </c>
      <c r="B4" t="s">
        <v>45</v>
      </c>
      <c r="C4" t="s">
        <v>46</v>
      </c>
      <c r="D4" s="6">
        <v>19</v>
      </c>
      <c r="E4" s="6">
        <v>3.5</v>
      </c>
      <c r="F4" s="6">
        <f t="shared" ref="F4:F13" si="0">ROUND(D4*1.23 + E4, 2)</f>
        <v>26.87</v>
      </c>
      <c r="G4" s="6" t="str">
        <f t="shared" ref="G4:G13" ca="1" si="1">ROUND(F4 + G4, 2)</f>
        <v/>
      </c>
      <c r="H4" s="7">
        <f t="shared" ref="H4:H13" si="2">(F4-D4-E4)/F4</f>
        <v>0.16263490882024567</v>
      </c>
      <c r="I4" t="s">
        <v>47</v>
      </c>
    </row>
    <row r="5" spans="1:9" x14ac:dyDescent="0.4">
      <c r="A5">
        <v>2</v>
      </c>
      <c r="B5" t="s">
        <v>45</v>
      </c>
      <c r="C5" t="s">
        <v>48</v>
      </c>
      <c r="D5" s="6">
        <v>100</v>
      </c>
      <c r="E5" s="6">
        <v>8</v>
      </c>
      <c r="F5" s="6">
        <f t="shared" si="0"/>
        <v>131</v>
      </c>
      <c r="G5" s="6" t="str">
        <f t="shared" ca="1" si="1"/>
        <v/>
      </c>
      <c r="H5" s="7">
        <f t="shared" si="2"/>
        <v>0.17557251908396945</v>
      </c>
      <c r="I5" t="s">
        <v>47</v>
      </c>
    </row>
    <row r="6" spans="1:9" x14ac:dyDescent="0.4">
      <c r="A6">
        <v>3</v>
      </c>
      <c r="B6" t="s">
        <v>49</v>
      </c>
      <c r="C6" t="s">
        <v>50</v>
      </c>
      <c r="D6" s="6">
        <v>17.5</v>
      </c>
      <c r="E6" s="6">
        <v>3</v>
      </c>
      <c r="F6" s="6">
        <f t="shared" si="0"/>
        <v>24.53</v>
      </c>
      <c r="G6" s="6" t="str">
        <f t="shared" ca="1" si="1"/>
        <v/>
      </c>
      <c r="H6" s="7">
        <f t="shared" si="2"/>
        <v>0.16428862617203427</v>
      </c>
      <c r="I6" t="s">
        <v>47</v>
      </c>
    </row>
    <row r="7" spans="1:9" x14ac:dyDescent="0.4">
      <c r="A7">
        <v>4</v>
      </c>
      <c r="B7" t="s">
        <v>51</v>
      </c>
      <c r="C7" t="s">
        <v>52</v>
      </c>
      <c r="D7" s="6">
        <v>9.5</v>
      </c>
      <c r="E7" s="6">
        <v>1.2</v>
      </c>
      <c r="F7" s="6">
        <f t="shared" si="0"/>
        <v>12.89</v>
      </c>
      <c r="G7" s="6" t="str">
        <f t="shared" ca="1" si="1"/>
        <v/>
      </c>
      <c r="H7" s="7">
        <f t="shared" si="2"/>
        <v>0.16989914662529096</v>
      </c>
      <c r="I7" t="s">
        <v>47</v>
      </c>
    </row>
    <row r="8" spans="1:9" x14ac:dyDescent="0.4">
      <c r="A8">
        <v>5</v>
      </c>
      <c r="B8" t="s">
        <v>51</v>
      </c>
      <c r="C8" t="s">
        <v>53</v>
      </c>
      <c r="D8" s="6">
        <v>17</v>
      </c>
      <c r="E8" s="6">
        <v>2.5</v>
      </c>
      <c r="F8" s="6">
        <f t="shared" si="0"/>
        <v>23.41</v>
      </c>
      <c r="G8" s="6" t="str">
        <f t="shared" ca="1" si="1"/>
        <v/>
      </c>
      <c r="H8" s="7">
        <f t="shared" si="2"/>
        <v>0.1670226398974797</v>
      </c>
      <c r="I8" t="s">
        <v>47</v>
      </c>
    </row>
    <row r="9" spans="1:9" x14ac:dyDescent="0.4">
      <c r="A9">
        <v>6</v>
      </c>
      <c r="B9" t="s">
        <v>54</v>
      </c>
      <c r="C9" t="s">
        <v>55</v>
      </c>
      <c r="D9" s="6">
        <v>9.5</v>
      </c>
      <c r="E9" s="6">
        <v>1.2</v>
      </c>
      <c r="F9" s="6">
        <f t="shared" si="0"/>
        <v>12.89</v>
      </c>
      <c r="G9" s="6" t="str">
        <f t="shared" ca="1" si="1"/>
        <v/>
      </c>
      <c r="H9" s="7">
        <f t="shared" si="2"/>
        <v>0.16989914662529096</v>
      </c>
      <c r="I9" t="s">
        <v>47</v>
      </c>
    </row>
    <row r="10" spans="1:9" x14ac:dyDescent="0.4">
      <c r="A10">
        <v>7</v>
      </c>
      <c r="B10" t="s">
        <v>56</v>
      </c>
      <c r="C10" t="s">
        <v>57</v>
      </c>
      <c r="D10" s="6">
        <v>18.5</v>
      </c>
      <c r="E10" s="6">
        <v>2.8</v>
      </c>
      <c r="F10" s="6">
        <f t="shared" si="0"/>
        <v>25.56</v>
      </c>
      <c r="G10" s="6" t="str">
        <f t="shared" ca="1" si="1"/>
        <v/>
      </c>
      <c r="H10" s="7">
        <f t="shared" si="2"/>
        <v>0.16666666666666663</v>
      </c>
      <c r="I10" t="s">
        <v>47</v>
      </c>
    </row>
    <row r="11" spans="1:9" x14ac:dyDescent="0.4">
      <c r="A11">
        <v>8</v>
      </c>
      <c r="B11" t="s">
        <v>58</v>
      </c>
      <c r="C11" t="s">
        <v>50</v>
      </c>
      <c r="D11" s="6">
        <v>17.5</v>
      </c>
      <c r="E11" s="6">
        <v>2.5</v>
      </c>
      <c r="F11" s="6">
        <f t="shared" si="0"/>
        <v>24.03</v>
      </c>
      <c r="G11" s="6" t="str">
        <f t="shared" ca="1" si="1"/>
        <v/>
      </c>
      <c r="H11" s="7">
        <f t="shared" si="2"/>
        <v>0.16770703287557223</v>
      </c>
      <c r="I11" t="s">
        <v>47</v>
      </c>
    </row>
    <row r="12" spans="1:9" x14ac:dyDescent="0.4">
      <c r="A12">
        <v>9</v>
      </c>
      <c r="B12" t="s">
        <v>59</v>
      </c>
      <c r="C12" t="s">
        <v>52</v>
      </c>
      <c r="D12" s="6">
        <v>10</v>
      </c>
      <c r="E12" s="6">
        <v>1.3</v>
      </c>
      <c r="F12" s="6">
        <f t="shared" si="0"/>
        <v>13.6</v>
      </c>
      <c r="G12" s="6" t="str">
        <f t="shared" ca="1" si="1"/>
        <v/>
      </c>
      <c r="H12" s="7">
        <f t="shared" si="2"/>
        <v>0.16911764705882351</v>
      </c>
      <c r="I12" t="s">
        <v>47</v>
      </c>
    </row>
    <row r="13" spans="1:9" x14ac:dyDescent="0.4">
      <c r="A13">
        <v>10</v>
      </c>
      <c r="B13" t="s">
        <v>60</v>
      </c>
      <c r="C13" t="s">
        <v>61</v>
      </c>
      <c r="D13" s="6">
        <v>16</v>
      </c>
      <c r="E13" s="6">
        <v>2.2000000000000002</v>
      </c>
      <c r="F13" s="6">
        <f t="shared" si="0"/>
        <v>21.88</v>
      </c>
      <c r="G13" s="6" t="str">
        <f t="shared" ca="1" si="1"/>
        <v/>
      </c>
      <c r="H13" s="7">
        <f t="shared" si="2"/>
        <v>0.1681901279707495</v>
      </c>
      <c r="I13" t="s">
        <v>47</v>
      </c>
    </row>
  </sheetData>
  <mergeCells count="1">
    <mergeCell ref="A1:I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sqref="A1:F1"/>
    </sheetView>
  </sheetViews>
  <sheetFormatPr defaultRowHeight="17.399999999999999" x14ac:dyDescent="0.4"/>
  <cols>
    <col min="1" max="1" width="37.5" customWidth="1"/>
    <col min="2" max="2" width="21" customWidth="1"/>
    <col min="3" max="3" width="26.69921875" customWidth="1"/>
    <col min="4" max="4" width="23" customWidth="1"/>
    <col min="5" max="5" width="28" customWidth="1"/>
    <col min="6" max="6" width="22" customWidth="1"/>
  </cols>
  <sheetData>
    <row r="1" spans="1:6" ht="21" x14ac:dyDescent="0.4">
      <c r="A1" s="8" t="s">
        <v>62</v>
      </c>
      <c r="B1" s="9"/>
      <c r="C1" s="9"/>
      <c r="D1" s="9"/>
      <c r="E1" s="9"/>
      <c r="F1" s="9"/>
    </row>
    <row r="3" spans="1:6" x14ac:dyDescent="0.4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</row>
    <row r="4" spans="1:6" x14ac:dyDescent="0.4">
      <c r="A4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</row>
    <row r="5" spans="1:6" x14ac:dyDescent="0.4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</row>
    <row r="6" spans="1:6" x14ac:dyDescent="0.4">
      <c r="A6" t="s">
        <v>81</v>
      </c>
      <c r="B6" t="s">
        <v>82</v>
      </c>
      <c r="C6" t="s">
        <v>83</v>
      </c>
      <c r="D6" t="s">
        <v>84</v>
      </c>
      <c r="E6" t="s">
        <v>85</v>
      </c>
      <c r="F6" t="s">
        <v>86</v>
      </c>
    </row>
    <row r="7" spans="1:6" x14ac:dyDescent="0.4">
      <c r="A7" t="s">
        <v>87</v>
      </c>
      <c r="B7" t="s">
        <v>88</v>
      </c>
      <c r="C7" t="s">
        <v>89</v>
      </c>
      <c r="D7" t="s">
        <v>90</v>
      </c>
      <c r="E7" t="s">
        <v>91</v>
      </c>
      <c r="F7" t="s">
        <v>92</v>
      </c>
    </row>
    <row r="8" spans="1:6" x14ac:dyDescent="0.4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</row>
  </sheetData>
  <mergeCells count="1">
    <mergeCell ref="A1:F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sqref="A1:G1"/>
    </sheetView>
  </sheetViews>
  <sheetFormatPr defaultRowHeight="17.399999999999999" x14ac:dyDescent="0.4"/>
  <cols>
    <col min="1" max="1" width="44" customWidth="1"/>
    <col min="2" max="2" width="18" customWidth="1"/>
    <col min="3" max="3" width="36" customWidth="1"/>
    <col min="4" max="4" width="18" customWidth="1"/>
    <col min="5" max="5" width="35" customWidth="1"/>
    <col min="6" max="6" width="44" customWidth="1"/>
    <col min="7" max="7" width="37" customWidth="1"/>
  </cols>
  <sheetData>
    <row r="1" spans="1:7" ht="21" x14ac:dyDescent="0.4">
      <c r="A1" s="8" t="s">
        <v>99</v>
      </c>
      <c r="B1" s="9"/>
      <c r="C1" s="9"/>
      <c r="D1" s="9"/>
      <c r="E1" s="9"/>
      <c r="F1" s="9"/>
      <c r="G1" s="9"/>
    </row>
    <row r="3" spans="1:7" x14ac:dyDescent="0.4">
      <c r="A3" s="1" t="s">
        <v>100</v>
      </c>
      <c r="B3" s="1" t="s">
        <v>101</v>
      </c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</row>
    <row r="4" spans="1:7" x14ac:dyDescent="0.4">
      <c r="A4" t="s">
        <v>107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</row>
    <row r="5" spans="1:7" x14ac:dyDescent="0.4">
      <c r="A5" t="s">
        <v>107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</row>
    <row r="6" spans="1:7" x14ac:dyDescent="0.4">
      <c r="A6" t="s">
        <v>107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</row>
    <row r="7" spans="1:7" x14ac:dyDescent="0.4">
      <c r="A7" t="s">
        <v>107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131</v>
      </c>
    </row>
    <row r="8" spans="1:7" x14ac:dyDescent="0.4">
      <c r="A8" t="s">
        <v>132</v>
      </c>
      <c r="B8" t="s">
        <v>108</v>
      </c>
      <c r="C8" t="s">
        <v>133</v>
      </c>
      <c r="D8" t="s">
        <v>134</v>
      </c>
      <c r="E8" t="s">
        <v>135</v>
      </c>
      <c r="F8" t="s">
        <v>136</v>
      </c>
      <c r="G8" t="s">
        <v>137</v>
      </c>
    </row>
    <row r="9" spans="1:7" x14ac:dyDescent="0.4">
      <c r="A9" t="s">
        <v>132</v>
      </c>
      <c r="B9" t="s">
        <v>78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</row>
    <row r="10" spans="1:7" x14ac:dyDescent="0.4">
      <c r="A10" t="s">
        <v>132</v>
      </c>
      <c r="B10" t="s">
        <v>143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</row>
    <row r="11" spans="1:7" x14ac:dyDescent="0.4">
      <c r="A11" t="s">
        <v>132</v>
      </c>
      <c r="B11" t="s">
        <v>149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</row>
    <row r="12" spans="1:7" x14ac:dyDescent="0.4">
      <c r="A12" t="s">
        <v>81</v>
      </c>
      <c r="B12" t="s">
        <v>155</v>
      </c>
      <c r="C12" t="s">
        <v>156</v>
      </c>
      <c r="D12" t="s">
        <v>157</v>
      </c>
      <c r="E12" t="s">
        <v>158</v>
      </c>
      <c r="F12" t="s">
        <v>159</v>
      </c>
      <c r="G12" t="s">
        <v>160</v>
      </c>
    </row>
    <row r="13" spans="1:7" x14ac:dyDescent="0.4">
      <c r="A13" t="s">
        <v>81</v>
      </c>
      <c r="B13" t="s">
        <v>161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</row>
    <row r="14" spans="1:7" x14ac:dyDescent="0.4">
      <c r="A14" t="s">
        <v>81</v>
      </c>
      <c r="B14" t="s">
        <v>155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</row>
    <row r="15" spans="1:7" x14ac:dyDescent="0.4">
      <c r="A15" t="s">
        <v>81</v>
      </c>
      <c r="B15" t="s">
        <v>172</v>
      </c>
      <c r="C15" t="s">
        <v>173</v>
      </c>
      <c r="D15" t="s">
        <v>174</v>
      </c>
      <c r="E15" t="s">
        <v>175</v>
      </c>
      <c r="F15" t="s">
        <v>176</v>
      </c>
      <c r="G15" t="s">
        <v>177</v>
      </c>
    </row>
    <row r="16" spans="1:7" x14ac:dyDescent="0.4">
      <c r="A16" t="s">
        <v>178</v>
      </c>
      <c r="B16" t="s">
        <v>179</v>
      </c>
      <c r="C16" t="s">
        <v>180</v>
      </c>
      <c r="D16" t="s">
        <v>181</v>
      </c>
      <c r="E16" t="s">
        <v>182</v>
      </c>
      <c r="F16" t="s">
        <v>183</v>
      </c>
      <c r="G16" t="s">
        <v>184</v>
      </c>
    </row>
    <row r="17" spans="1:7" x14ac:dyDescent="0.4">
      <c r="A17" t="s">
        <v>178</v>
      </c>
      <c r="B17" t="s">
        <v>185</v>
      </c>
      <c r="C17" t="s">
        <v>186</v>
      </c>
      <c r="D17" t="s">
        <v>187</v>
      </c>
      <c r="E17" t="s">
        <v>188</v>
      </c>
      <c r="F17" t="s">
        <v>189</v>
      </c>
      <c r="G17" t="s">
        <v>190</v>
      </c>
    </row>
    <row r="18" spans="1:7" x14ac:dyDescent="0.4">
      <c r="A18" t="s">
        <v>178</v>
      </c>
      <c r="B18" t="s">
        <v>120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</row>
    <row r="19" spans="1:7" x14ac:dyDescent="0.4">
      <c r="A19" t="s">
        <v>178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s">
        <v>201</v>
      </c>
    </row>
    <row r="20" spans="1:7" x14ac:dyDescent="0.4">
      <c r="A20" t="s">
        <v>202</v>
      </c>
      <c r="B20" t="s">
        <v>203</v>
      </c>
      <c r="C20" t="s">
        <v>204</v>
      </c>
      <c r="D20" t="s">
        <v>205</v>
      </c>
      <c r="E20" t="s">
        <v>206</v>
      </c>
      <c r="F20" t="s">
        <v>207</v>
      </c>
      <c r="G20" t="s">
        <v>208</v>
      </c>
    </row>
    <row r="21" spans="1:7" x14ac:dyDescent="0.4">
      <c r="A21" t="s">
        <v>202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</row>
    <row r="22" spans="1:7" x14ac:dyDescent="0.4">
      <c r="A22" t="s">
        <v>202</v>
      </c>
      <c r="B22" t="s">
        <v>215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</row>
    <row r="23" spans="1:7" x14ac:dyDescent="0.4">
      <c r="A23" t="s">
        <v>202</v>
      </c>
      <c r="B23" t="s">
        <v>149</v>
      </c>
      <c r="C23" t="s">
        <v>221</v>
      </c>
      <c r="D23" t="s">
        <v>222</v>
      </c>
      <c r="E23" t="s">
        <v>223</v>
      </c>
      <c r="F23" t="s">
        <v>224</v>
      </c>
      <c r="G23" t="s">
        <v>225</v>
      </c>
    </row>
  </sheetData>
  <mergeCells count="1">
    <mergeCell ref="A1:G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sqref="A1:D1"/>
    </sheetView>
  </sheetViews>
  <sheetFormatPr defaultRowHeight="17.399999999999999" x14ac:dyDescent="0.4"/>
  <cols>
    <col min="1" max="1" width="38" customWidth="1"/>
    <col min="2" max="2" width="33" customWidth="1"/>
    <col min="3" max="3" width="59" customWidth="1"/>
    <col min="4" max="4" width="47" customWidth="1"/>
  </cols>
  <sheetData>
    <row r="1" spans="1:4" ht="21" x14ac:dyDescent="0.4">
      <c r="A1" s="8" t="s">
        <v>226</v>
      </c>
      <c r="B1" s="9"/>
      <c r="C1" s="9"/>
      <c r="D1" s="9"/>
    </row>
    <row r="3" spans="1:4" x14ac:dyDescent="0.4">
      <c r="A3" s="1" t="s">
        <v>227</v>
      </c>
      <c r="B3" s="1" t="s">
        <v>228</v>
      </c>
      <c r="C3" s="1" t="s">
        <v>229</v>
      </c>
      <c r="D3" s="1" t="s">
        <v>230</v>
      </c>
    </row>
    <row r="4" spans="1:4" x14ac:dyDescent="0.4">
      <c r="A4" t="s">
        <v>231</v>
      </c>
      <c r="B4" t="s">
        <v>232</v>
      </c>
      <c r="C4" t="s">
        <v>233</v>
      </c>
      <c r="D4" t="s">
        <v>234</v>
      </c>
    </row>
    <row r="5" spans="1:4" x14ac:dyDescent="0.4">
      <c r="A5" t="s">
        <v>235</v>
      </c>
      <c r="B5" t="s">
        <v>236</v>
      </c>
      <c r="C5" t="s">
        <v>237</v>
      </c>
      <c r="D5" t="s">
        <v>238</v>
      </c>
    </row>
    <row r="6" spans="1:4" x14ac:dyDescent="0.4">
      <c r="A6" t="s">
        <v>239</v>
      </c>
      <c r="B6" t="s">
        <v>240</v>
      </c>
      <c r="C6" t="s">
        <v>241</v>
      </c>
      <c r="D6" t="s">
        <v>242</v>
      </c>
    </row>
    <row r="7" spans="1:4" x14ac:dyDescent="0.4">
      <c r="A7" t="s">
        <v>243</v>
      </c>
      <c r="B7" t="s">
        <v>244</v>
      </c>
      <c r="C7" t="s">
        <v>245</v>
      </c>
      <c r="D7" t="s">
        <v>246</v>
      </c>
    </row>
    <row r="8" spans="1:4" x14ac:dyDescent="0.4">
      <c r="A8" t="s">
        <v>247</v>
      </c>
      <c r="B8" t="s">
        <v>248</v>
      </c>
      <c r="C8" t="s">
        <v>249</v>
      </c>
      <c r="D8" t="s">
        <v>250</v>
      </c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Summary_KPI</vt:lpstr>
      <vt:lpstr>Export_Pricing</vt:lpstr>
      <vt:lpstr>Product_Star_Strategy</vt:lpstr>
      <vt:lpstr>Product_Top_Buyers_DB</vt:lpstr>
      <vt:lpstr>Business_Playbook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Duhui Lee</cp:lastModifiedBy>
  <dcterms:created xsi:type="dcterms:W3CDTF">2026-07-24T02:11:26Z</dcterms:created>
  <dcterms:modified xsi:type="dcterms:W3CDTF">2026-07-24T04:12:46Z</dcterms:modified>
</cp:coreProperties>
</file>