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0db54fbfb9dbff/1.HaeYu/HYU_RSCH/BIZ-laver/reports/"/>
    </mc:Choice>
  </mc:AlternateContent>
  <xr:revisionPtr revIDLastSave="1" documentId="11_9B418ADC0BA6A3E22F83470A0362DE58B5B79C43" xr6:coauthVersionLast="47" xr6:coauthVersionMax="47" xr10:uidLastSave="{4677F39F-3831-4B88-AA23-9D10C9EE02E3}"/>
  <bookViews>
    <workbookView minimized="1" xWindow="1152" yWindow="1152" windowWidth="17280" windowHeight="8880" activeTab="2" xr2:uid="{00000000-000D-0000-FFFF-FFFF00000000}"/>
  </bookViews>
  <sheets>
    <sheet name="Executive Dashboard" sheetId="1" r:id="rId1"/>
    <sheet name="Target Markets" sheetId="2" r:id="rId2"/>
    <sheet name="Raw Data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D13" i="1"/>
  <c r="C13" i="1"/>
  <c r="E13" i="1" s="1"/>
  <c r="B13" i="1"/>
  <c r="D12" i="1"/>
  <c r="C12" i="1"/>
  <c r="E12" i="1" s="1"/>
  <c r="B12" i="1"/>
  <c r="D11" i="1"/>
  <c r="C11" i="1"/>
  <c r="E11" i="1" s="1"/>
  <c r="B11" i="1"/>
  <c r="D10" i="1"/>
  <c r="C10" i="1"/>
  <c r="E10" i="1" s="1"/>
  <c r="B10" i="1"/>
  <c r="D9" i="1"/>
  <c r="C9" i="1"/>
  <c r="B9" i="1"/>
  <c r="D4" i="1"/>
  <c r="C4" i="1"/>
  <c r="B4" i="1"/>
  <c r="A4" i="1"/>
</calcChain>
</file>

<file path=xl/sharedStrings.xml><?xml version="1.0" encoding="utf-8"?>
<sst xmlns="http://schemas.openxmlformats.org/spreadsheetml/2006/main" count="3251" uniqueCount="195">
  <si>
    <t>해유 김 수출 총괄 Executive 대시보드 (2021~2025)</t>
  </si>
  <si>
    <t>총 누적 수출액 ($)</t>
  </si>
  <si>
    <t>총 누적 수출물량 (톤)</t>
  </si>
  <si>
    <t>평균 수출 단가 ($/kg)</t>
  </si>
  <si>
    <t>2025년 수출 성장액 ($)</t>
  </si>
  <si>
    <t>연도별 수출 요약 (수식 모델링)</t>
  </si>
  <si>
    <t>연도</t>
  </si>
  <si>
    <t>수출물량 (톤)</t>
  </si>
  <si>
    <t>수출 금액 ($)</t>
  </si>
  <si>
    <t>평균 단가 ($/kg)</t>
  </si>
  <si>
    <t>전년대비 성장률</t>
  </si>
  <si>
    <t>2021</t>
  </si>
  <si>
    <t>-</t>
  </si>
  <si>
    <t>2022</t>
  </si>
  <si>
    <t>2023</t>
  </si>
  <si>
    <t>2024</t>
  </si>
  <si>
    <t>2025</t>
  </si>
  <si>
    <t>1인 무역회사 TOP 3 유망 개척 시장 분석</t>
  </si>
  <si>
    <t>순위</t>
  </si>
  <si>
    <t>개척 대상국</t>
  </si>
  <si>
    <t>2021년 수출액 ($)</t>
  </si>
  <si>
    <t>2025년 수출액 ($)</t>
  </si>
  <si>
    <t>5개년 성장률</t>
  </si>
  <si>
    <t>조미김 비중</t>
  </si>
  <si>
    <t>1위</t>
  </si>
  <si>
    <t>Saudi Arabia (사우디)</t>
  </si>
  <si>
    <t>UAE (아랍에미리트)</t>
  </si>
  <si>
    <t>2위</t>
  </si>
  <si>
    <t>Poland (폴란드)</t>
  </si>
  <si>
    <t>Netherlands (네덜란드)</t>
  </si>
  <si>
    <t>3위</t>
  </si>
  <si>
    <t>Kazakhstan (카자흐스탄)</t>
  </si>
  <si>
    <t>Türkiye (튀르키예)</t>
  </si>
  <si>
    <t>refYear</t>
  </si>
  <si>
    <t>cmdCode</t>
  </si>
  <si>
    <t>item_label</t>
  </si>
  <si>
    <t>partnerDesc</t>
  </si>
  <si>
    <t>qty_tons</t>
  </si>
  <si>
    <t>primary_value_usd</t>
  </si>
  <si>
    <t>unit_price_usd_kg</t>
  </si>
  <si>
    <t>마른김 (HS 121221)</t>
  </si>
  <si>
    <t>World</t>
  </si>
  <si>
    <t>American Samoa</t>
  </si>
  <si>
    <t>Argentina</t>
  </si>
  <si>
    <t>Australia</t>
  </si>
  <si>
    <t>Austria</t>
  </si>
  <si>
    <t>Bahrain</t>
  </si>
  <si>
    <t>Bangladesh</t>
  </si>
  <si>
    <t>Belgium</t>
  </si>
  <si>
    <t>Bolivia (Plurinational State of)</t>
  </si>
  <si>
    <t>Brazil</t>
  </si>
  <si>
    <t>Brunei Darussalam</t>
  </si>
  <si>
    <t>Myanmar</t>
  </si>
  <si>
    <t>Cambodia</t>
  </si>
  <si>
    <t>Canada</t>
  </si>
  <si>
    <t>Chile</t>
  </si>
  <si>
    <t>China</t>
  </si>
  <si>
    <t>Colombia</t>
  </si>
  <si>
    <t>Cyprus</t>
  </si>
  <si>
    <t>Czechia</t>
  </si>
  <si>
    <t>Denmark</t>
  </si>
  <si>
    <t>Dominican Rep.</t>
  </si>
  <si>
    <t>Fiji</t>
  </si>
  <si>
    <t>France</t>
  </si>
  <si>
    <t>Germany</t>
  </si>
  <si>
    <t>Greece</t>
  </si>
  <si>
    <t>Guam</t>
  </si>
  <si>
    <t>Guatemala</t>
  </si>
  <si>
    <t>Guinea</t>
  </si>
  <si>
    <t>Haiti</t>
  </si>
  <si>
    <t>China, Hong Kong SAR</t>
  </si>
  <si>
    <t>Hungary</t>
  </si>
  <si>
    <t>Indonesia</t>
  </si>
  <si>
    <t>Iraq</t>
  </si>
  <si>
    <t>Ireland</t>
  </si>
  <si>
    <t>Israel</t>
  </si>
  <si>
    <t>Italy</t>
  </si>
  <si>
    <t>Côte d'Ivoire</t>
  </si>
  <si>
    <t>Japan</t>
  </si>
  <si>
    <t>Kazakhstan</t>
  </si>
  <si>
    <t>Kenya</t>
  </si>
  <si>
    <t>Kuwait</t>
  </si>
  <si>
    <t>Kyrgyzstan</t>
  </si>
  <si>
    <t>Lao People's Dem. Rep.</t>
  </si>
  <si>
    <t>Lebanon</t>
  </si>
  <si>
    <t>Libya</t>
  </si>
  <si>
    <t>Lithuania</t>
  </si>
  <si>
    <t>China, Macao SAR</t>
  </si>
  <si>
    <t>Malaysia</t>
  </si>
  <si>
    <t>Malta</t>
  </si>
  <si>
    <t>Mexico</t>
  </si>
  <si>
    <t>Other Asia, nes</t>
  </si>
  <si>
    <t>Mongolia</t>
  </si>
  <si>
    <t>Rep. of Moldova</t>
  </si>
  <si>
    <t>Morocco</t>
  </si>
  <si>
    <t>Netherlands</t>
  </si>
  <si>
    <t>Curaçao</t>
  </si>
  <si>
    <t>New Zealand</t>
  </si>
  <si>
    <t>Nigeria</t>
  </si>
  <si>
    <t>Norway</t>
  </si>
  <si>
    <t>N. Mariana Isds</t>
  </si>
  <si>
    <t>Marshall Isds</t>
  </si>
  <si>
    <t>Palau</t>
  </si>
  <si>
    <t>Panama</t>
  </si>
  <si>
    <t>Paraguay</t>
  </si>
  <si>
    <t>Peru</t>
  </si>
  <si>
    <t>Philippines</t>
  </si>
  <si>
    <t>Poland</t>
  </si>
  <si>
    <t>Qatar</t>
  </si>
  <si>
    <t>Russian Federation</t>
  </si>
  <si>
    <t>Saudi Arabia</t>
  </si>
  <si>
    <t>Senegal</t>
  </si>
  <si>
    <t>Serbia</t>
  </si>
  <si>
    <t>India</t>
  </si>
  <si>
    <t>Singapore</t>
  </si>
  <si>
    <t>Slovakia</t>
  </si>
  <si>
    <t>Viet Nam</t>
  </si>
  <si>
    <t>Slovenia</t>
  </si>
  <si>
    <t>South Africa</t>
  </si>
  <si>
    <t>Spain</t>
  </si>
  <si>
    <t>Sweden</t>
  </si>
  <si>
    <t>Switzerland</t>
  </si>
  <si>
    <t>Thailand</t>
  </si>
  <si>
    <t>Togo</t>
  </si>
  <si>
    <t>United Arab Emirates</t>
  </si>
  <si>
    <t>Tunisia</t>
  </si>
  <si>
    <t>Türkiye</t>
  </si>
  <si>
    <t>Ukraine</t>
  </si>
  <si>
    <t>Egypt</t>
  </si>
  <si>
    <t>United Kingdom</t>
  </si>
  <si>
    <t>USA</t>
  </si>
  <si>
    <t>Uzbekistan</t>
  </si>
  <si>
    <t>Samoa</t>
  </si>
  <si>
    <t>조미김 (HS 200899)</t>
  </si>
  <si>
    <t>Algeria</t>
  </si>
  <si>
    <t>Bhutan</t>
  </si>
  <si>
    <t>Bulgaria</t>
  </si>
  <si>
    <t>Belarus</t>
  </si>
  <si>
    <t>Cameroon</t>
  </si>
  <si>
    <t>Costa Rica</t>
  </si>
  <si>
    <t>Ecuador</t>
  </si>
  <si>
    <t>Estonia</t>
  </si>
  <si>
    <t>Finland</t>
  </si>
  <si>
    <t>Georgia</t>
  </si>
  <si>
    <t>Ghana</t>
  </si>
  <si>
    <t>Jordan</t>
  </si>
  <si>
    <t>Latvia</t>
  </si>
  <si>
    <t>Liberia</t>
  </si>
  <si>
    <t>Luxembourg</t>
  </si>
  <si>
    <t>Madagascar</t>
  </si>
  <si>
    <t>Maldives</t>
  </si>
  <si>
    <t>Oman</t>
  </si>
  <si>
    <t>Nepal</t>
  </si>
  <si>
    <t>Vanuatu</t>
  </si>
  <si>
    <t>Nicaragua</t>
  </si>
  <si>
    <t>FS Micronesia</t>
  </si>
  <si>
    <t>Pakistan</t>
  </si>
  <si>
    <t>Portugal</t>
  </si>
  <si>
    <t>Romania</t>
  </si>
  <si>
    <t>Sudan</t>
  </si>
  <si>
    <t>Uganda</t>
  </si>
  <si>
    <t>North Macedonia</t>
  </si>
  <si>
    <t>Uruguay</t>
  </si>
  <si>
    <t>Zambia</t>
  </si>
  <si>
    <t>Azerbaijan</t>
  </si>
  <si>
    <t>Solomon Isds</t>
  </si>
  <si>
    <t>Angola</t>
  </si>
  <si>
    <t>Bosnia Herzegovina</t>
  </si>
  <si>
    <t>Mauritius</t>
  </si>
  <si>
    <t>Mozambique</t>
  </si>
  <si>
    <t>New Caledonia</t>
  </si>
  <si>
    <t>Albania</t>
  </si>
  <si>
    <t>Sri Lanka</t>
  </si>
  <si>
    <t>Croatia</t>
  </si>
  <si>
    <t>Kiribati</t>
  </si>
  <si>
    <t>Honduras</t>
  </si>
  <si>
    <t>Rwanda</t>
  </si>
  <si>
    <t>Trinidad and Tobago</t>
  </si>
  <si>
    <t>United Rep. of Tanzania</t>
  </si>
  <si>
    <t>Belize</t>
  </si>
  <si>
    <t>Burundi</t>
  </si>
  <si>
    <t>Timor-Leste</t>
  </si>
  <si>
    <t>Tajikistan</t>
  </si>
  <si>
    <t>Botswana</t>
  </si>
  <si>
    <t>Central African Rep.</t>
  </si>
  <si>
    <t>Ethiopia</t>
  </si>
  <si>
    <t>Iceland</t>
  </si>
  <si>
    <t>Papua New Guinea</t>
  </si>
  <si>
    <t>Zimbabwe</t>
  </si>
  <si>
    <t>Tonga</t>
  </si>
  <si>
    <t>Turkmenistan</t>
  </si>
  <si>
    <t>French Polynesia</t>
  </si>
  <si>
    <t>Areas, nes</t>
  </si>
  <si>
    <t>Armenia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</si>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</sst>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\$#,##0"/>
    <numFmt numFmtId="177" formatCode="\$#,##0.00"/>
    <numFmt numFmtId="178" formatCode="0.0%"/>
  </numFmts>
  <fonts count="6">
    <font>
      <sz val="11"/>
      <color theme="1"/>
      <name val="맑은 고딕"/>
      <family val="2"/>
      <scheme val="minor"/>
    </font>
    <font>
      <b/>
      <sz val="16"/>
      <color rgb="FF1F4E79"/>
      <name val="Malgun Gothic"/>
      <family val="3"/>
      <charset val="129"/>
    </font>
    <font>
      <b/>
      <sz val="11"/>
      <color rgb="FF1F4E79"/>
      <name val="Malgun Gothic"/>
      <family val="3"/>
      <charset val="129"/>
    </font>
    <font>
      <b/>
      <sz val="10.5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4" fillId="4" borderId="0" xfId="0" applyFont="1" applyFill="1" applyAlignment="1">
      <alignment horizontal="center"/>
    </xf>
    <xf numFmtId="0" fontId="4" fillId="3" borderId="0" xfId="0" applyFont="1" applyFill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Light16">
    <tableStyle name="Invisible" pivot="0" table="0" count="0" xr9:uid="{2F746845-A72D-4D4A-A1C2-529168636E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arly%20Summa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 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7.399999999999999"/>
  <cols>
    <col min="1" max="1" width="40" customWidth="1"/>
    <col min="2" max="3" width="50" customWidth="1"/>
    <col min="4" max="4" width="54" customWidth="1"/>
    <col min="5" max="5" width="17" customWidth="1"/>
    <col min="6" max="6" width="12" customWidth="1"/>
  </cols>
  <sheetData>
    <row r="1" spans="1:6" ht="25.2">
      <c r="A1" s="15" t="s">
        <v>0</v>
      </c>
      <c r="B1" s="16"/>
      <c r="C1" s="16"/>
      <c r="D1" s="16"/>
      <c r="E1" s="16"/>
      <c r="F1" s="16"/>
    </row>
    <row r="3" spans="1:6">
      <c r="A3" s="2" t="s">
        <v>1</v>
      </c>
      <c r="B3" s="2" t="s">
        <v>2</v>
      </c>
      <c r="C3" s="2" t="s">
        <v>3</v>
      </c>
      <c r="D3" s="2" t="s">
        <v>4</v>
      </c>
    </row>
    <row r="4" spans="1:6">
      <c r="A4" s="3">
        <f>SUM('Raw Data'!F:F)</f>
        <v>9647774076</v>
      </c>
      <c r="B4" s="4">
        <f>SUM('Raw Data'!E:E)</f>
        <v>539122.79426</v>
      </c>
      <c r="C4" s="5">
        <f>AVERAGE('Raw Data'!G:G)</f>
        <v>22.907549111318996</v>
      </c>
      <c r="D4" s="3" t="e">
        <f>'[1]Yearly Summary'!C6-'[1]Yearly Summary'!C2</f>
        <v>#REF!</v>
      </c>
    </row>
    <row r="7" spans="1:6">
      <c r="A7" s="6" t="s">
        <v>5</v>
      </c>
    </row>
    <row r="8" spans="1:6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spans="1:6">
      <c r="A9" s="8" t="s">
        <v>11</v>
      </c>
      <c r="B9" s="9">
        <f>SUMIF('Raw Data'!$A:$A, A9, 'Raw Data'!$E:$E)</f>
        <v>99434.186361999979</v>
      </c>
      <c r="C9" s="10">
        <f>SUMIF('Raw Data'!$A:$A, A9, 'Raw Data'!$F:$F)</f>
        <v>1615459230</v>
      </c>
      <c r="D9" s="11">
        <f>AVERAGEIF('Raw Data'!$A:$A, A9, 'Raw Data'!$G:$G)</f>
        <v>22.063157894736833</v>
      </c>
      <c r="E9" s="8" t="s">
        <v>12</v>
      </c>
    </row>
    <row r="10" spans="1:6">
      <c r="A10" s="8" t="s">
        <v>13</v>
      </c>
      <c r="B10" s="9">
        <f>SUMIF('Raw Data'!$A:$A, A10, 'Raw Data'!$E:$E)</f>
        <v>99333.346560000005</v>
      </c>
      <c r="C10" s="10">
        <f>SUMIF('Raw Data'!$A:$A, A10, 'Raw Data'!$F:$F)</f>
        <v>1500236642</v>
      </c>
      <c r="D10" s="11">
        <f>AVERAGEIF('Raw Data'!$A:$A, A10, 'Raw Data'!$G:$G)</f>
        <v>20.931149999999992</v>
      </c>
      <c r="E10" s="12">
        <f>(C10-C9)/C9</f>
        <v>-7.1324974261343627E-2</v>
      </c>
    </row>
    <row r="11" spans="1:6">
      <c r="A11" s="8" t="s">
        <v>14</v>
      </c>
      <c r="B11" s="9">
        <f>SUMIF('Raw Data'!$A:$A, A11, 'Raw Data'!$E:$E)</f>
        <v>109785.07933899992</v>
      </c>
      <c r="C11" s="10">
        <f>SUMIF('Raw Data'!$A:$A, A11, 'Raw Data'!$F:$F)</f>
        <v>1804051682</v>
      </c>
      <c r="D11" s="11">
        <f>AVERAGEIF('Raw Data'!$A:$A, A11, 'Raw Data'!$G:$G)</f>
        <v>20.555657894736836</v>
      </c>
      <c r="E11" s="12">
        <f>(C11-C10)/C10</f>
        <v>0.20251141152970187</v>
      </c>
    </row>
    <row r="12" spans="1:6">
      <c r="A12" s="8" t="s">
        <v>15</v>
      </c>
      <c r="B12" s="9">
        <f>SUMIF('Raw Data'!$A:$A, A12, 'Raw Data'!$E:$E)</f>
        <v>113272.19874099994</v>
      </c>
      <c r="C12" s="10">
        <f>SUMIF('Raw Data'!$A:$A, A12, 'Raw Data'!$F:$F)</f>
        <v>2226076264</v>
      </c>
      <c r="D12" s="11">
        <f>AVERAGEIF('Raw Data'!$A:$A, A12, 'Raw Data'!$G:$G)</f>
        <v>24.223333333333315</v>
      </c>
      <c r="E12" s="12">
        <f>(C12-C11)/C11</f>
        <v>0.23393153655783128</v>
      </c>
    </row>
    <row r="13" spans="1:6">
      <c r="A13" s="8" t="s">
        <v>16</v>
      </c>
      <c r="B13" s="9">
        <f>SUMIF('Raw Data'!$A:$A, A13, 'Raw Data'!$E:$E)</f>
        <v>117297.98325799999</v>
      </c>
      <c r="C13" s="10">
        <f>SUMIF('Raw Data'!$A:$A, A13, 'Raw Data'!$F:$F)</f>
        <v>2501950258</v>
      </c>
      <c r="D13" s="11">
        <f>AVERAGEIF('Raw Data'!$A:$A, A13, 'Raw Data'!$G:$G)</f>
        <v>26.721342592592599</v>
      </c>
      <c r="E13" s="12">
        <f>(C13-C12)/C12</f>
        <v>0.12392836600498428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7.399999999999999"/>
  <cols>
    <col min="1" max="1" width="28" customWidth="1"/>
    <col min="2" max="2" width="21" customWidth="1"/>
    <col min="3" max="4" width="16" customWidth="1"/>
    <col min="5" max="5" width="14" customWidth="1"/>
    <col min="6" max="6" width="15" customWidth="1"/>
    <col min="7" max="7" width="12" customWidth="1"/>
  </cols>
  <sheetData>
    <row r="1" spans="1:7" ht="25.2">
      <c r="A1" s="1" t="s">
        <v>17</v>
      </c>
    </row>
    <row r="3" spans="1:7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9</v>
      </c>
      <c r="G3" s="13" t="s">
        <v>23</v>
      </c>
    </row>
    <row r="4" spans="1:7">
      <c r="A4" s="8" t="s">
        <v>24</v>
      </c>
      <c r="B4" t="s">
        <v>25</v>
      </c>
      <c r="C4" s="10">
        <v>143199</v>
      </c>
      <c r="D4" s="10">
        <v>797080</v>
      </c>
      <c r="E4" s="12">
        <f t="shared" ref="E4:E9" si="0">(D4-C4)/C4</f>
        <v>4.5662399877094115</v>
      </c>
      <c r="F4" s="11">
        <v>25.06</v>
      </c>
      <c r="G4" s="12">
        <v>0.94199999999999995</v>
      </c>
    </row>
    <row r="5" spans="1:7">
      <c r="A5" s="8" t="s">
        <v>24</v>
      </c>
      <c r="B5" t="s">
        <v>26</v>
      </c>
      <c r="C5" s="10">
        <v>1123145</v>
      </c>
      <c r="D5" s="10">
        <v>3228624</v>
      </c>
      <c r="E5" s="12">
        <f t="shared" si="0"/>
        <v>1.8746279420733742</v>
      </c>
      <c r="F5" s="11">
        <v>25.06</v>
      </c>
      <c r="G5" s="12">
        <v>0.92200000000000004</v>
      </c>
    </row>
    <row r="6" spans="1:7">
      <c r="A6" s="8" t="s">
        <v>27</v>
      </c>
      <c r="B6" t="s">
        <v>28</v>
      </c>
      <c r="C6" s="10">
        <v>5191576</v>
      </c>
      <c r="D6" s="10">
        <v>11483987</v>
      </c>
      <c r="E6" s="12">
        <f t="shared" si="0"/>
        <v>1.2120425473883074</v>
      </c>
      <c r="F6" s="11">
        <v>24.01</v>
      </c>
      <c r="G6" s="12">
        <v>0.94799999999999995</v>
      </c>
    </row>
    <row r="7" spans="1:7">
      <c r="A7" s="8" t="s">
        <v>27</v>
      </c>
      <c r="B7" t="s">
        <v>29</v>
      </c>
      <c r="C7" s="10">
        <v>6590648</v>
      </c>
      <c r="D7" s="10">
        <v>13352068</v>
      </c>
      <c r="E7" s="12">
        <f t="shared" si="0"/>
        <v>1.0259112609260881</v>
      </c>
      <c r="F7" s="11">
        <v>17.75</v>
      </c>
      <c r="G7" s="12">
        <v>0.92700000000000005</v>
      </c>
    </row>
    <row r="8" spans="1:7">
      <c r="A8" s="8" t="s">
        <v>30</v>
      </c>
      <c r="B8" t="s">
        <v>31</v>
      </c>
      <c r="C8" s="10">
        <v>1081252</v>
      </c>
      <c r="D8" s="10">
        <v>4281595</v>
      </c>
      <c r="E8" s="12">
        <f t="shared" si="0"/>
        <v>2.9598493228220617</v>
      </c>
      <c r="F8" s="11">
        <v>22.85</v>
      </c>
      <c r="G8" s="12">
        <v>0.58299999999999996</v>
      </c>
    </row>
    <row r="9" spans="1:7">
      <c r="A9" s="8" t="s">
        <v>30</v>
      </c>
      <c r="B9" t="s">
        <v>32</v>
      </c>
      <c r="C9" s="10">
        <v>591642</v>
      </c>
      <c r="D9" s="10">
        <v>2097614</v>
      </c>
      <c r="E9" s="12">
        <f t="shared" si="0"/>
        <v>2.5454109072716271</v>
      </c>
      <c r="F9" s="11">
        <v>28.01</v>
      </c>
      <c r="G9" s="12">
        <v>0.35299999999999998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0"/>
  <sheetViews>
    <sheetView tabSelected="1" topLeftCell="A46" workbookViewId="0"/>
  </sheetViews>
  <sheetFormatPr defaultRowHeight="17.399999999999999"/>
  <cols>
    <col min="1" max="2" width="12" customWidth="1"/>
    <col min="3" max="3" width="18" customWidth="1"/>
    <col min="4" max="4" width="35" customWidth="1"/>
    <col min="5" max="5" width="14" customWidth="1"/>
    <col min="6" max="7" width="20" customWidth="1"/>
  </cols>
  <sheetData>
    <row r="1" spans="1:7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</row>
    <row r="2" spans="1:7">
      <c r="A2" s="8" t="s">
        <v>11</v>
      </c>
      <c r="B2">
        <v>121221</v>
      </c>
      <c r="C2" t="s">
        <v>40</v>
      </c>
      <c r="D2" t="s">
        <v>41</v>
      </c>
      <c r="E2" s="9">
        <v>24419.5488</v>
      </c>
      <c r="F2" s="10">
        <v>253743183</v>
      </c>
      <c r="G2" s="11">
        <v>10.39</v>
      </c>
    </row>
    <row r="3" spans="1:7">
      <c r="A3" s="8" t="s">
        <v>11</v>
      </c>
      <c r="B3">
        <v>121221</v>
      </c>
      <c r="C3" t="s">
        <v>40</v>
      </c>
      <c r="D3" t="s">
        <v>42</v>
      </c>
      <c r="E3" s="9">
        <v>8.0000000000000002E-3</v>
      </c>
      <c r="F3" s="10">
        <v>163</v>
      </c>
      <c r="G3" s="11">
        <v>20.38</v>
      </c>
    </row>
    <row r="4" spans="1:7">
      <c r="A4" s="8" t="s">
        <v>11</v>
      </c>
      <c r="B4">
        <v>121221</v>
      </c>
      <c r="C4" t="s">
        <v>40</v>
      </c>
      <c r="D4" t="s">
        <v>43</v>
      </c>
      <c r="E4" s="9">
        <v>0.17255000000000001</v>
      </c>
      <c r="F4" s="10">
        <v>4390</v>
      </c>
      <c r="G4" s="11">
        <v>25.44</v>
      </c>
    </row>
    <row r="5" spans="1:7">
      <c r="A5" s="8" t="s">
        <v>11</v>
      </c>
      <c r="B5">
        <v>121221</v>
      </c>
      <c r="C5" t="s">
        <v>40</v>
      </c>
      <c r="D5" t="s">
        <v>44</v>
      </c>
      <c r="E5" s="9">
        <v>156.57246000000001</v>
      </c>
      <c r="F5" s="10">
        <v>1055889</v>
      </c>
      <c r="G5" s="11">
        <v>6.74</v>
      </c>
    </row>
    <row r="6" spans="1:7">
      <c r="A6" s="8" t="s">
        <v>11</v>
      </c>
      <c r="B6">
        <v>121221</v>
      </c>
      <c r="C6" t="s">
        <v>40</v>
      </c>
      <c r="D6" t="s">
        <v>45</v>
      </c>
      <c r="E6" s="9">
        <v>5.9812000000000003</v>
      </c>
      <c r="F6" s="10">
        <v>38901</v>
      </c>
      <c r="G6" s="11">
        <v>6.5</v>
      </c>
    </row>
    <row r="7" spans="1:7">
      <c r="A7" s="8" t="s">
        <v>11</v>
      </c>
      <c r="B7">
        <v>121221</v>
      </c>
      <c r="C7" t="s">
        <v>40</v>
      </c>
      <c r="D7" t="s">
        <v>46</v>
      </c>
      <c r="E7" s="9">
        <v>0.53554000000000002</v>
      </c>
      <c r="F7" s="10">
        <v>20532</v>
      </c>
      <c r="G7" s="11">
        <v>38.340000000000003</v>
      </c>
    </row>
    <row r="8" spans="1:7">
      <c r="A8" s="8" t="s">
        <v>11</v>
      </c>
      <c r="B8">
        <v>121221</v>
      </c>
      <c r="C8" t="s">
        <v>40</v>
      </c>
      <c r="D8" t="s">
        <v>47</v>
      </c>
      <c r="E8" s="9">
        <v>0.1076</v>
      </c>
      <c r="F8" s="10">
        <v>1710</v>
      </c>
      <c r="G8" s="11">
        <v>15.89</v>
      </c>
    </row>
    <row r="9" spans="1:7">
      <c r="A9" s="8" t="s">
        <v>11</v>
      </c>
      <c r="B9">
        <v>121221</v>
      </c>
      <c r="C9" t="s">
        <v>40</v>
      </c>
      <c r="D9" t="s">
        <v>48</v>
      </c>
      <c r="E9" s="9">
        <v>0.12092</v>
      </c>
      <c r="F9" s="10">
        <v>6439</v>
      </c>
      <c r="G9" s="11">
        <v>53.25</v>
      </c>
    </row>
    <row r="10" spans="1:7">
      <c r="A10" s="8" t="s">
        <v>11</v>
      </c>
      <c r="B10">
        <v>121221</v>
      </c>
      <c r="C10" t="s">
        <v>40</v>
      </c>
      <c r="D10" t="s">
        <v>49</v>
      </c>
      <c r="E10" s="9">
        <v>2.0666799999999999</v>
      </c>
      <c r="F10" s="10">
        <v>42253</v>
      </c>
      <c r="G10" s="11">
        <v>20.440000000000001</v>
      </c>
    </row>
    <row r="11" spans="1:7">
      <c r="A11" s="8" t="s">
        <v>11</v>
      </c>
      <c r="B11">
        <v>121221</v>
      </c>
      <c r="C11" t="s">
        <v>40</v>
      </c>
      <c r="D11" t="s">
        <v>50</v>
      </c>
      <c r="E11" s="9">
        <v>53.576900000000002</v>
      </c>
      <c r="F11" s="10">
        <v>1022860</v>
      </c>
      <c r="G11" s="11">
        <v>19.09</v>
      </c>
    </row>
    <row r="12" spans="1:7">
      <c r="A12" s="8" t="s">
        <v>11</v>
      </c>
      <c r="B12">
        <v>121221</v>
      </c>
      <c r="C12" t="s">
        <v>40</v>
      </c>
      <c r="D12" t="s">
        <v>51</v>
      </c>
      <c r="E12" s="9">
        <v>0.33</v>
      </c>
      <c r="F12" s="10">
        <v>6514</v>
      </c>
      <c r="G12" s="11">
        <v>19.739999999999998</v>
      </c>
    </row>
    <row r="13" spans="1:7">
      <c r="A13" s="8" t="s">
        <v>11</v>
      </c>
      <c r="B13">
        <v>121221</v>
      </c>
      <c r="C13" t="s">
        <v>40</v>
      </c>
      <c r="D13" t="s">
        <v>52</v>
      </c>
      <c r="E13" s="9">
        <v>4.7269620000000003</v>
      </c>
      <c r="F13" s="10">
        <v>80418</v>
      </c>
      <c r="G13" s="11">
        <v>17.010000000000002</v>
      </c>
    </row>
    <row r="14" spans="1:7">
      <c r="A14" s="8" t="s">
        <v>11</v>
      </c>
      <c r="B14">
        <v>121221</v>
      </c>
      <c r="C14" t="s">
        <v>40</v>
      </c>
      <c r="D14" t="s">
        <v>53</v>
      </c>
      <c r="E14" s="9">
        <v>6.8442499999999997</v>
      </c>
      <c r="F14" s="10">
        <v>45590</v>
      </c>
      <c r="G14" s="11">
        <v>6.66</v>
      </c>
    </row>
    <row r="15" spans="1:7">
      <c r="A15" s="8" t="s">
        <v>11</v>
      </c>
      <c r="B15">
        <v>121221</v>
      </c>
      <c r="C15" t="s">
        <v>40</v>
      </c>
      <c r="D15" t="s">
        <v>54</v>
      </c>
      <c r="E15" s="9">
        <v>136.87239</v>
      </c>
      <c r="F15" s="10">
        <v>1000579</v>
      </c>
      <c r="G15" s="11">
        <v>7.31</v>
      </c>
    </row>
    <row r="16" spans="1:7">
      <c r="A16" s="8" t="s">
        <v>11</v>
      </c>
      <c r="B16">
        <v>121221</v>
      </c>
      <c r="C16" t="s">
        <v>40</v>
      </c>
      <c r="D16" t="s">
        <v>55</v>
      </c>
      <c r="E16" s="9">
        <v>1.1913769999999999</v>
      </c>
      <c r="F16" s="10">
        <v>16911</v>
      </c>
      <c r="G16" s="11">
        <v>14.19</v>
      </c>
    </row>
    <row r="17" spans="1:7">
      <c r="A17" s="8" t="s">
        <v>11</v>
      </c>
      <c r="B17">
        <v>121221</v>
      </c>
      <c r="C17" t="s">
        <v>40</v>
      </c>
      <c r="D17" t="s">
        <v>56</v>
      </c>
      <c r="E17" s="9">
        <v>7214.893</v>
      </c>
      <c r="F17" s="10">
        <v>49767405</v>
      </c>
      <c r="G17" s="11">
        <v>6.9</v>
      </c>
    </row>
    <row r="18" spans="1:7">
      <c r="A18" s="8" t="s">
        <v>11</v>
      </c>
      <c r="B18">
        <v>121221</v>
      </c>
      <c r="C18" t="s">
        <v>40</v>
      </c>
      <c r="D18" t="s">
        <v>57</v>
      </c>
      <c r="E18" s="9">
        <v>4.3882000000000003</v>
      </c>
      <c r="F18" s="10">
        <v>111702</v>
      </c>
      <c r="G18" s="11">
        <v>25.46</v>
      </c>
    </row>
    <row r="19" spans="1:7">
      <c r="A19" s="8" t="s">
        <v>11</v>
      </c>
      <c r="B19">
        <v>121221</v>
      </c>
      <c r="C19" t="s">
        <v>40</v>
      </c>
      <c r="D19" t="s">
        <v>58</v>
      </c>
      <c r="E19" s="9">
        <v>0.28000000000000003</v>
      </c>
      <c r="F19" s="10">
        <v>4506</v>
      </c>
      <c r="G19" s="11">
        <v>16.09</v>
      </c>
    </row>
    <row r="20" spans="1:7">
      <c r="A20" s="8" t="s">
        <v>11</v>
      </c>
      <c r="B20">
        <v>121221</v>
      </c>
      <c r="C20" t="s">
        <v>40</v>
      </c>
      <c r="D20" t="s">
        <v>59</v>
      </c>
      <c r="E20" s="9">
        <v>2.4056000000000002</v>
      </c>
      <c r="F20" s="10">
        <v>26287</v>
      </c>
      <c r="G20" s="11">
        <v>10.93</v>
      </c>
    </row>
    <row r="21" spans="1:7">
      <c r="A21" s="8" t="s">
        <v>11</v>
      </c>
      <c r="B21">
        <v>121221</v>
      </c>
      <c r="C21" t="s">
        <v>40</v>
      </c>
      <c r="D21" t="s">
        <v>60</v>
      </c>
      <c r="E21" s="9">
        <v>4.0000000000000002E-4</v>
      </c>
      <c r="F21" s="10">
        <v>4</v>
      </c>
      <c r="G21" s="11">
        <v>10</v>
      </c>
    </row>
    <row r="22" spans="1:7">
      <c r="A22" s="8" t="s">
        <v>11</v>
      </c>
      <c r="B22">
        <v>121221</v>
      </c>
      <c r="C22" t="s">
        <v>40</v>
      </c>
      <c r="D22" t="s">
        <v>61</v>
      </c>
      <c r="E22" s="9">
        <v>0.44030000000000002</v>
      </c>
      <c r="F22" s="10">
        <v>2000</v>
      </c>
      <c r="G22" s="11">
        <v>4.54</v>
      </c>
    </row>
    <row r="23" spans="1:7">
      <c r="A23" s="8" t="s">
        <v>11</v>
      </c>
      <c r="B23">
        <v>121221</v>
      </c>
      <c r="C23" t="s">
        <v>40</v>
      </c>
      <c r="D23" t="s">
        <v>62</v>
      </c>
      <c r="E23" s="9">
        <v>2.5000000000000001E-2</v>
      </c>
      <c r="F23" s="10">
        <v>50</v>
      </c>
      <c r="G23" s="11">
        <v>2</v>
      </c>
    </row>
    <row r="24" spans="1:7">
      <c r="A24" s="8" t="s">
        <v>11</v>
      </c>
      <c r="B24">
        <v>121221</v>
      </c>
      <c r="C24" t="s">
        <v>40</v>
      </c>
      <c r="D24" t="s">
        <v>63</v>
      </c>
      <c r="E24" s="9">
        <v>32.665790000000001</v>
      </c>
      <c r="F24" s="10">
        <v>467893</v>
      </c>
      <c r="G24" s="11">
        <v>14.32</v>
      </c>
    </row>
    <row r="25" spans="1:7">
      <c r="A25" s="8" t="s">
        <v>11</v>
      </c>
      <c r="B25">
        <v>121221</v>
      </c>
      <c r="C25" t="s">
        <v>40</v>
      </c>
      <c r="D25" t="s">
        <v>64</v>
      </c>
      <c r="E25" s="9">
        <v>37.899569999999997</v>
      </c>
      <c r="F25" s="10">
        <v>509769</v>
      </c>
      <c r="G25" s="11">
        <v>13.45</v>
      </c>
    </row>
    <row r="26" spans="1:7">
      <c r="A26" s="8" t="s">
        <v>11</v>
      </c>
      <c r="B26">
        <v>121221</v>
      </c>
      <c r="C26" t="s">
        <v>40</v>
      </c>
      <c r="D26" t="s">
        <v>65</v>
      </c>
      <c r="E26" s="9">
        <v>2.385E-2</v>
      </c>
      <c r="F26" s="10">
        <v>353</v>
      </c>
      <c r="G26" s="11">
        <v>14.8</v>
      </c>
    </row>
    <row r="27" spans="1:7">
      <c r="A27" s="8" t="s">
        <v>11</v>
      </c>
      <c r="B27">
        <v>121221</v>
      </c>
      <c r="C27" t="s">
        <v>40</v>
      </c>
      <c r="D27" t="s">
        <v>66</v>
      </c>
      <c r="E27" s="9">
        <v>4.6193200000000001</v>
      </c>
      <c r="F27" s="10">
        <v>54954</v>
      </c>
      <c r="G27" s="11">
        <v>11.9</v>
      </c>
    </row>
    <row r="28" spans="1:7">
      <c r="A28" s="8" t="s">
        <v>11</v>
      </c>
      <c r="B28">
        <v>121221</v>
      </c>
      <c r="C28" t="s">
        <v>40</v>
      </c>
      <c r="D28" t="s">
        <v>67</v>
      </c>
      <c r="E28" s="9">
        <v>0.834202</v>
      </c>
      <c r="F28" s="10">
        <v>4349</v>
      </c>
      <c r="G28" s="11">
        <v>5.21</v>
      </c>
    </row>
    <row r="29" spans="1:7">
      <c r="A29" s="8" t="s">
        <v>11</v>
      </c>
      <c r="B29">
        <v>121221</v>
      </c>
      <c r="C29" t="s">
        <v>40</v>
      </c>
      <c r="D29" t="s">
        <v>68</v>
      </c>
      <c r="E29" s="9">
        <v>0.02</v>
      </c>
      <c r="F29" s="10">
        <v>30</v>
      </c>
      <c r="G29" s="11">
        <v>1.5</v>
      </c>
    </row>
    <row r="30" spans="1:7">
      <c r="A30" s="8" t="s">
        <v>11</v>
      </c>
      <c r="B30">
        <v>121221</v>
      </c>
      <c r="C30" t="s">
        <v>40</v>
      </c>
      <c r="D30" t="s">
        <v>69</v>
      </c>
      <c r="E30" s="9">
        <v>0.20291000000000001</v>
      </c>
      <c r="F30" s="10">
        <v>1010</v>
      </c>
      <c r="G30" s="11">
        <v>4.9800000000000004</v>
      </c>
    </row>
    <row r="31" spans="1:7">
      <c r="A31" s="8" t="s">
        <v>11</v>
      </c>
      <c r="B31">
        <v>121221</v>
      </c>
      <c r="C31" t="s">
        <v>40</v>
      </c>
      <c r="D31" t="s">
        <v>70</v>
      </c>
      <c r="E31" s="9">
        <v>34.882899000000002</v>
      </c>
      <c r="F31" s="10">
        <v>412302</v>
      </c>
      <c r="G31" s="11">
        <v>11.82</v>
      </c>
    </row>
    <row r="32" spans="1:7">
      <c r="A32" s="8" t="s">
        <v>11</v>
      </c>
      <c r="B32">
        <v>121221</v>
      </c>
      <c r="C32" t="s">
        <v>40</v>
      </c>
      <c r="D32" t="s">
        <v>71</v>
      </c>
      <c r="E32" s="9">
        <v>0.51588999999999996</v>
      </c>
      <c r="F32" s="10">
        <v>7139</v>
      </c>
      <c r="G32" s="11">
        <v>13.84</v>
      </c>
    </row>
    <row r="33" spans="1:7">
      <c r="A33" s="8" t="s">
        <v>11</v>
      </c>
      <c r="B33">
        <v>121221</v>
      </c>
      <c r="C33" t="s">
        <v>40</v>
      </c>
      <c r="D33" t="s">
        <v>72</v>
      </c>
      <c r="E33" s="9">
        <v>309.89586000000003</v>
      </c>
      <c r="F33" s="10">
        <v>5360634</v>
      </c>
      <c r="G33" s="11">
        <v>17.3</v>
      </c>
    </row>
    <row r="34" spans="1:7">
      <c r="A34" s="8" t="s">
        <v>11</v>
      </c>
      <c r="B34">
        <v>121221</v>
      </c>
      <c r="C34" t="s">
        <v>40</v>
      </c>
      <c r="D34" t="s">
        <v>73</v>
      </c>
      <c r="E34" s="9">
        <v>0.78957999999999995</v>
      </c>
      <c r="F34" s="10">
        <v>9480</v>
      </c>
      <c r="G34" s="11">
        <v>12.01</v>
      </c>
    </row>
    <row r="35" spans="1:7">
      <c r="A35" s="8" t="s">
        <v>11</v>
      </c>
      <c r="B35">
        <v>121221</v>
      </c>
      <c r="C35" t="s">
        <v>40</v>
      </c>
      <c r="D35" t="s">
        <v>74</v>
      </c>
      <c r="E35" s="9">
        <v>3.78E-2</v>
      </c>
      <c r="F35" s="10">
        <v>470</v>
      </c>
      <c r="G35" s="11">
        <v>12.43</v>
      </c>
    </row>
    <row r="36" spans="1:7">
      <c r="A36" s="8" t="s">
        <v>11</v>
      </c>
      <c r="B36">
        <v>121221</v>
      </c>
      <c r="C36" t="s">
        <v>40</v>
      </c>
      <c r="D36" t="s">
        <v>75</v>
      </c>
      <c r="E36" s="9">
        <v>2.2275</v>
      </c>
      <c r="F36" s="10">
        <v>87450</v>
      </c>
      <c r="G36" s="11">
        <v>39.26</v>
      </c>
    </row>
    <row r="37" spans="1:7">
      <c r="A37" s="8" t="s">
        <v>11</v>
      </c>
      <c r="B37">
        <v>121221</v>
      </c>
      <c r="C37" t="s">
        <v>40</v>
      </c>
      <c r="D37" t="s">
        <v>76</v>
      </c>
      <c r="E37" s="9">
        <v>1.1467000000000001</v>
      </c>
      <c r="F37" s="10">
        <v>34225</v>
      </c>
      <c r="G37" s="11">
        <v>29.85</v>
      </c>
    </row>
    <row r="38" spans="1:7">
      <c r="A38" s="8" t="s">
        <v>11</v>
      </c>
      <c r="B38">
        <v>121221</v>
      </c>
      <c r="C38" t="s">
        <v>40</v>
      </c>
      <c r="D38" t="s">
        <v>77</v>
      </c>
      <c r="E38" s="9">
        <v>1.6E-2</v>
      </c>
      <c r="F38" s="10">
        <v>278</v>
      </c>
      <c r="G38" s="11">
        <v>17.38</v>
      </c>
    </row>
    <row r="39" spans="1:7">
      <c r="A39" s="8" t="s">
        <v>11</v>
      </c>
      <c r="B39">
        <v>121221</v>
      </c>
      <c r="C39" t="s">
        <v>40</v>
      </c>
      <c r="D39" t="s">
        <v>78</v>
      </c>
      <c r="E39" s="9">
        <v>7951.7190000000001</v>
      </c>
      <c r="F39" s="10">
        <v>75185502</v>
      </c>
      <c r="G39" s="11">
        <v>9.4600000000000009</v>
      </c>
    </row>
    <row r="40" spans="1:7">
      <c r="A40" s="8" t="s">
        <v>11</v>
      </c>
      <c r="B40">
        <v>121221</v>
      </c>
      <c r="C40" t="s">
        <v>40</v>
      </c>
      <c r="D40" t="s">
        <v>79</v>
      </c>
      <c r="E40" s="9">
        <v>14.01721</v>
      </c>
      <c r="F40" s="10">
        <v>283424</v>
      </c>
      <c r="G40" s="11">
        <v>20.22</v>
      </c>
    </row>
    <row r="41" spans="1:7">
      <c r="A41" s="8" t="s">
        <v>11</v>
      </c>
      <c r="B41">
        <v>121221</v>
      </c>
      <c r="C41" t="s">
        <v>40</v>
      </c>
      <c r="D41" t="s">
        <v>80</v>
      </c>
      <c r="E41" s="9">
        <v>12.38025</v>
      </c>
      <c r="F41" s="10">
        <v>78115</v>
      </c>
      <c r="G41" s="11">
        <v>6.31</v>
      </c>
    </row>
    <row r="42" spans="1:7">
      <c r="A42" s="8" t="s">
        <v>11</v>
      </c>
      <c r="B42">
        <v>121221</v>
      </c>
      <c r="C42" t="s">
        <v>40</v>
      </c>
      <c r="D42" t="s">
        <v>81</v>
      </c>
      <c r="E42" s="9">
        <v>0.62168999999999996</v>
      </c>
      <c r="F42" s="10">
        <v>11362</v>
      </c>
      <c r="G42" s="11">
        <v>18.28</v>
      </c>
    </row>
    <row r="43" spans="1:7">
      <c r="A43" s="8" t="s">
        <v>11</v>
      </c>
      <c r="B43">
        <v>121221</v>
      </c>
      <c r="C43" t="s">
        <v>40</v>
      </c>
      <c r="D43" t="s">
        <v>82</v>
      </c>
      <c r="E43" s="9">
        <v>1.44675</v>
      </c>
      <c r="F43" s="10">
        <v>24948</v>
      </c>
      <c r="G43" s="11">
        <v>17.239999999999998</v>
      </c>
    </row>
    <row r="44" spans="1:7">
      <c r="A44" s="8" t="s">
        <v>11</v>
      </c>
      <c r="B44">
        <v>121221</v>
      </c>
      <c r="C44" t="s">
        <v>40</v>
      </c>
      <c r="D44" t="s">
        <v>83</v>
      </c>
      <c r="E44" s="9">
        <v>1.3593999999999999</v>
      </c>
      <c r="F44" s="10">
        <v>21874</v>
      </c>
      <c r="G44" s="11">
        <v>16.09</v>
      </c>
    </row>
    <row r="45" spans="1:7">
      <c r="A45" s="8" t="s">
        <v>11</v>
      </c>
      <c r="B45">
        <v>121221</v>
      </c>
      <c r="C45" t="s">
        <v>40</v>
      </c>
      <c r="D45" t="s">
        <v>84</v>
      </c>
      <c r="E45" s="9">
        <v>5.8380000000000001E-2</v>
      </c>
      <c r="F45" s="10">
        <v>814</v>
      </c>
      <c r="G45" s="11">
        <v>13.94</v>
      </c>
    </row>
    <row r="46" spans="1:7">
      <c r="A46" s="8" t="s">
        <v>11</v>
      </c>
      <c r="B46">
        <v>121221</v>
      </c>
      <c r="C46" t="s">
        <v>40</v>
      </c>
      <c r="D46" t="s">
        <v>85</v>
      </c>
      <c r="E46" s="9">
        <v>0.23946999999999999</v>
      </c>
      <c r="F46" s="10">
        <v>2575</v>
      </c>
      <c r="G46" s="11">
        <v>10.75</v>
      </c>
    </row>
    <row r="47" spans="1:7">
      <c r="A47" s="8" t="s">
        <v>11</v>
      </c>
      <c r="B47">
        <v>121221</v>
      </c>
      <c r="C47" t="s">
        <v>40</v>
      </c>
      <c r="D47" t="s">
        <v>86</v>
      </c>
      <c r="E47" s="9">
        <v>81.226799999999997</v>
      </c>
      <c r="F47" s="10">
        <v>1450720</v>
      </c>
      <c r="G47" s="11">
        <v>17.86</v>
      </c>
    </row>
    <row r="48" spans="1:7">
      <c r="A48" s="8" t="s">
        <v>11</v>
      </c>
      <c r="B48">
        <v>121221</v>
      </c>
      <c r="C48" t="s">
        <v>40</v>
      </c>
      <c r="D48" t="s">
        <v>87</v>
      </c>
      <c r="E48" s="9">
        <v>0.56000000000000005</v>
      </c>
      <c r="F48" s="10">
        <v>3451</v>
      </c>
      <c r="G48" s="11">
        <v>6.16</v>
      </c>
    </row>
    <row r="49" spans="1:7">
      <c r="A49" s="8" t="s">
        <v>11</v>
      </c>
      <c r="B49">
        <v>121221</v>
      </c>
      <c r="C49" t="s">
        <v>40</v>
      </c>
      <c r="D49" t="s">
        <v>88</v>
      </c>
      <c r="E49" s="9">
        <v>22.066510000000001</v>
      </c>
      <c r="F49" s="10">
        <v>345410</v>
      </c>
      <c r="G49" s="11">
        <v>15.65</v>
      </c>
    </row>
    <row r="50" spans="1:7">
      <c r="A50" s="8" t="s">
        <v>11</v>
      </c>
      <c r="B50">
        <v>121221</v>
      </c>
      <c r="C50" t="s">
        <v>40</v>
      </c>
      <c r="D50" t="s">
        <v>89</v>
      </c>
      <c r="E50" s="9">
        <v>1.35E-2</v>
      </c>
      <c r="F50" s="10">
        <v>253</v>
      </c>
      <c r="G50" s="11">
        <v>18.739999999999998</v>
      </c>
    </row>
    <row r="51" spans="1:7">
      <c r="A51" s="8" t="s">
        <v>11</v>
      </c>
      <c r="B51">
        <v>121221</v>
      </c>
      <c r="C51" t="s">
        <v>40</v>
      </c>
      <c r="D51" t="s">
        <v>90</v>
      </c>
      <c r="E51" s="9">
        <v>112.24075999999999</v>
      </c>
      <c r="F51" s="10">
        <v>2286334</v>
      </c>
      <c r="G51" s="11">
        <v>20.37</v>
      </c>
    </row>
    <row r="52" spans="1:7">
      <c r="A52" s="8" t="s">
        <v>11</v>
      </c>
      <c r="B52">
        <v>121221</v>
      </c>
      <c r="C52" t="s">
        <v>40</v>
      </c>
      <c r="D52" t="s">
        <v>91</v>
      </c>
      <c r="E52" s="9">
        <v>799.27819999999997</v>
      </c>
      <c r="F52" s="10">
        <v>15019563</v>
      </c>
      <c r="G52" s="11">
        <v>18.79</v>
      </c>
    </row>
    <row r="53" spans="1:7">
      <c r="A53" s="8" t="s">
        <v>11</v>
      </c>
      <c r="B53">
        <v>121221</v>
      </c>
      <c r="C53" t="s">
        <v>40</v>
      </c>
      <c r="D53" t="s">
        <v>92</v>
      </c>
      <c r="E53" s="9">
        <v>185.84205</v>
      </c>
      <c r="F53" s="10">
        <v>1743588</v>
      </c>
      <c r="G53" s="11">
        <v>9.3800000000000008</v>
      </c>
    </row>
    <row r="54" spans="1:7">
      <c r="A54" s="8" t="s">
        <v>11</v>
      </c>
      <c r="B54">
        <v>121221</v>
      </c>
      <c r="C54" t="s">
        <v>40</v>
      </c>
      <c r="D54" t="s">
        <v>93</v>
      </c>
      <c r="E54" s="9">
        <v>3.1855000000000002</v>
      </c>
      <c r="F54" s="10">
        <v>75858</v>
      </c>
      <c r="G54" s="11">
        <v>23.81</v>
      </c>
    </row>
    <row r="55" spans="1:7">
      <c r="A55" s="8" t="s">
        <v>11</v>
      </c>
      <c r="B55">
        <v>121221</v>
      </c>
      <c r="C55" t="s">
        <v>40</v>
      </c>
      <c r="D55" t="s">
        <v>94</v>
      </c>
      <c r="E55" s="9">
        <v>1.32E-2</v>
      </c>
      <c r="F55" s="10">
        <v>998</v>
      </c>
      <c r="G55" s="11">
        <v>75.61</v>
      </c>
    </row>
    <row r="56" spans="1:7">
      <c r="A56" s="8" t="s">
        <v>11</v>
      </c>
      <c r="B56">
        <v>121221</v>
      </c>
      <c r="C56" t="s">
        <v>40</v>
      </c>
      <c r="D56" t="s">
        <v>95</v>
      </c>
      <c r="E56" s="9">
        <v>51.910299999999999</v>
      </c>
      <c r="F56" s="10">
        <v>482370</v>
      </c>
      <c r="G56" s="11">
        <v>9.2899999999999991</v>
      </c>
    </row>
    <row r="57" spans="1:7">
      <c r="A57" s="8" t="s">
        <v>11</v>
      </c>
      <c r="B57">
        <v>121221</v>
      </c>
      <c r="C57" t="s">
        <v>40</v>
      </c>
      <c r="D57" t="s">
        <v>96</v>
      </c>
      <c r="E57" s="9">
        <v>1.328E-2</v>
      </c>
      <c r="F57" s="10">
        <v>119</v>
      </c>
      <c r="G57" s="11">
        <v>8.9600000000000009</v>
      </c>
    </row>
    <row r="58" spans="1:7">
      <c r="A58" s="8" t="s">
        <v>11</v>
      </c>
      <c r="B58">
        <v>121221</v>
      </c>
      <c r="C58" t="s">
        <v>40</v>
      </c>
      <c r="D58" t="s">
        <v>97</v>
      </c>
      <c r="E58" s="9">
        <v>46.408389999999997</v>
      </c>
      <c r="F58" s="10">
        <v>284779</v>
      </c>
      <c r="G58" s="11">
        <v>6.14</v>
      </c>
    </row>
    <row r="59" spans="1:7">
      <c r="A59" s="8" t="s">
        <v>11</v>
      </c>
      <c r="B59">
        <v>121221</v>
      </c>
      <c r="C59" t="s">
        <v>40</v>
      </c>
      <c r="D59" t="s">
        <v>98</v>
      </c>
      <c r="E59" s="9">
        <v>0.1799</v>
      </c>
      <c r="F59" s="10">
        <v>2166</v>
      </c>
      <c r="G59" s="11">
        <v>12.04</v>
      </c>
    </row>
    <row r="60" spans="1:7">
      <c r="A60" s="8" t="s">
        <v>11</v>
      </c>
      <c r="B60">
        <v>121221</v>
      </c>
      <c r="C60" t="s">
        <v>40</v>
      </c>
      <c r="D60" t="s">
        <v>99</v>
      </c>
      <c r="E60" s="9">
        <v>1.34</v>
      </c>
      <c r="F60" s="10">
        <v>261246</v>
      </c>
      <c r="G60" s="11">
        <v>194.96</v>
      </c>
    </row>
    <row r="61" spans="1:7">
      <c r="A61" s="8" t="s">
        <v>11</v>
      </c>
      <c r="B61">
        <v>121221</v>
      </c>
      <c r="C61" t="s">
        <v>40</v>
      </c>
      <c r="D61" t="s">
        <v>100</v>
      </c>
      <c r="E61" s="9">
        <v>3.1992400000000001</v>
      </c>
      <c r="F61" s="10">
        <v>35861</v>
      </c>
      <c r="G61" s="11">
        <v>11.21</v>
      </c>
    </row>
    <row r="62" spans="1:7">
      <c r="A62" s="8" t="s">
        <v>11</v>
      </c>
      <c r="B62">
        <v>121221</v>
      </c>
      <c r="C62" t="s">
        <v>40</v>
      </c>
      <c r="D62" t="s">
        <v>101</v>
      </c>
      <c r="E62" s="9">
        <v>2.9000000000000001E-2</v>
      </c>
      <c r="F62" s="10">
        <v>735</v>
      </c>
      <c r="G62" s="11">
        <v>25.34</v>
      </c>
    </row>
    <row r="63" spans="1:7">
      <c r="A63" s="8" t="s">
        <v>11</v>
      </c>
      <c r="B63">
        <v>121221</v>
      </c>
      <c r="C63" t="s">
        <v>40</v>
      </c>
      <c r="D63" t="s">
        <v>102</v>
      </c>
      <c r="E63" s="9">
        <v>2.5787599999999999</v>
      </c>
      <c r="F63" s="10">
        <v>10865</v>
      </c>
      <c r="G63" s="11">
        <v>4.21</v>
      </c>
    </row>
    <row r="64" spans="1:7">
      <c r="A64" s="8" t="s">
        <v>11</v>
      </c>
      <c r="B64">
        <v>121221</v>
      </c>
      <c r="C64" t="s">
        <v>40</v>
      </c>
      <c r="D64" t="s">
        <v>103</v>
      </c>
      <c r="E64" s="9">
        <v>6.4339999999999994E-2</v>
      </c>
      <c r="F64" s="10">
        <v>2062</v>
      </c>
      <c r="G64" s="11">
        <v>32.049999999999997</v>
      </c>
    </row>
    <row r="65" spans="1:7">
      <c r="A65" s="8" t="s">
        <v>11</v>
      </c>
      <c r="B65">
        <v>121221</v>
      </c>
      <c r="C65" t="s">
        <v>40</v>
      </c>
      <c r="D65" t="s">
        <v>104</v>
      </c>
      <c r="E65" s="9">
        <v>1.3892599999999999</v>
      </c>
      <c r="F65" s="10">
        <v>20297</v>
      </c>
      <c r="G65" s="11">
        <v>14.61</v>
      </c>
    </row>
    <row r="66" spans="1:7">
      <c r="A66" s="8" t="s">
        <v>11</v>
      </c>
      <c r="B66">
        <v>121221</v>
      </c>
      <c r="C66" t="s">
        <v>40</v>
      </c>
      <c r="D66" t="s">
        <v>105</v>
      </c>
      <c r="E66" s="9">
        <v>0.29089999999999999</v>
      </c>
      <c r="F66" s="10">
        <v>13042</v>
      </c>
      <c r="G66" s="11">
        <v>44.83</v>
      </c>
    </row>
    <row r="67" spans="1:7">
      <c r="A67" s="8" t="s">
        <v>11</v>
      </c>
      <c r="B67">
        <v>121221</v>
      </c>
      <c r="C67" t="s">
        <v>40</v>
      </c>
      <c r="D67" t="s">
        <v>106</v>
      </c>
      <c r="E67" s="9">
        <v>166.62582</v>
      </c>
      <c r="F67" s="10">
        <v>818695</v>
      </c>
      <c r="G67" s="11">
        <v>4.91</v>
      </c>
    </row>
    <row r="68" spans="1:7">
      <c r="A68" s="8" t="s">
        <v>11</v>
      </c>
      <c r="B68">
        <v>121221</v>
      </c>
      <c r="C68" t="s">
        <v>40</v>
      </c>
      <c r="D68" t="s">
        <v>107</v>
      </c>
      <c r="E68" s="9">
        <v>18.740349999999999</v>
      </c>
      <c r="F68" s="10">
        <v>328362</v>
      </c>
      <c r="G68" s="11">
        <v>17.52</v>
      </c>
    </row>
    <row r="69" spans="1:7">
      <c r="A69" s="8" t="s">
        <v>11</v>
      </c>
      <c r="B69">
        <v>121221</v>
      </c>
      <c r="C69" t="s">
        <v>40</v>
      </c>
      <c r="D69" t="s">
        <v>108</v>
      </c>
      <c r="E69" s="9">
        <v>0.69176000000000004</v>
      </c>
      <c r="F69" s="10">
        <v>19562</v>
      </c>
      <c r="G69" s="11">
        <v>28.28</v>
      </c>
    </row>
    <row r="70" spans="1:7">
      <c r="A70" s="8" t="s">
        <v>11</v>
      </c>
      <c r="B70">
        <v>121221</v>
      </c>
      <c r="C70" t="s">
        <v>40</v>
      </c>
      <c r="D70" t="s">
        <v>109</v>
      </c>
      <c r="E70" s="9">
        <v>1296.778</v>
      </c>
      <c r="F70" s="10">
        <v>26150051</v>
      </c>
      <c r="G70" s="11">
        <v>20.170000000000002</v>
      </c>
    </row>
    <row r="71" spans="1:7">
      <c r="A71" s="8" t="s">
        <v>11</v>
      </c>
      <c r="B71">
        <v>121221</v>
      </c>
      <c r="C71" t="s">
        <v>40</v>
      </c>
      <c r="D71" t="s">
        <v>110</v>
      </c>
      <c r="E71" s="9">
        <v>0.98719999999999997</v>
      </c>
      <c r="F71" s="10">
        <v>12348</v>
      </c>
      <c r="G71" s="11">
        <v>12.51</v>
      </c>
    </row>
    <row r="72" spans="1:7">
      <c r="A72" s="8" t="s">
        <v>11</v>
      </c>
      <c r="B72">
        <v>121221</v>
      </c>
      <c r="C72" t="s">
        <v>40</v>
      </c>
      <c r="D72" t="s">
        <v>111</v>
      </c>
      <c r="E72" s="9">
        <v>4.5999999999999999E-2</v>
      </c>
      <c r="F72" s="10">
        <v>154</v>
      </c>
      <c r="G72" s="11">
        <v>3.35</v>
      </c>
    </row>
    <row r="73" spans="1:7">
      <c r="A73" s="8" t="s">
        <v>11</v>
      </c>
      <c r="B73">
        <v>121221</v>
      </c>
      <c r="C73" t="s">
        <v>40</v>
      </c>
      <c r="D73" t="s">
        <v>112</v>
      </c>
      <c r="E73" s="9">
        <v>0.10566</v>
      </c>
      <c r="F73" s="10">
        <v>1728</v>
      </c>
      <c r="G73" s="11">
        <v>16.350000000000001</v>
      </c>
    </row>
    <row r="74" spans="1:7">
      <c r="A74" s="8" t="s">
        <v>11</v>
      </c>
      <c r="B74">
        <v>121221</v>
      </c>
      <c r="C74" t="s">
        <v>40</v>
      </c>
      <c r="D74" t="s">
        <v>113</v>
      </c>
      <c r="E74" s="9">
        <v>0.45941799999999999</v>
      </c>
      <c r="F74" s="10">
        <v>11697</v>
      </c>
      <c r="G74" s="11">
        <v>25.46</v>
      </c>
    </row>
    <row r="75" spans="1:7">
      <c r="A75" s="8" t="s">
        <v>11</v>
      </c>
      <c r="B75">
        <v>121221</v>
      </c>
      <c r="C75" t="s">
        <v>40</v>
      </c>
      <c r="D75" t="s">
        <v>114</v>
      </c>
      <c r="E75" s="9">
        <v>113.94278</v>
      </c>
      <c r="F75" s="10">
        <v>1659785</v>
      </c>
      <c r="G75" s="11">
        <v>14.57</v>
      </c>
    </row>
    <row r="76" spans="1:7">
      <c r="A76" s="8" t="s">
        <v>11</v>
      </c>
      <c r="B76">
        <v>121221</v>
      </c>
      <c r="C76" t="s">
        <v>40</v>
      </c>
      <c r="D76" t="s">
        <v>115</v>
      </c>
      <c r="E76" s="9">
        <v>0.20050000000000001</v>
      </c>
      <c r="F76" s="10">
        <v>3221</v>
      </c>
      <c r="G76" s="11">
        <v>16.059999999999999</v>
      </c>
    </row>
    <row r="77" spans="1:7">
      <c r="A77" s="8" t="s">
        <v>11</v>
      </c>
      <c r="B77">
        <v>121221</v>
      </c>
      <c r="C77" t="s">
        <v>40</v>
      </c>
      <c r="D77" t="s">
        <v>116</v>
      </c>
      <c r="E77" s="9">
        <v>502.72969999999998</v>
      </c>
      <c r="F77" s="10">
        <v>6531763</v>
      </c>
      <c r="G77" s="11">
        <v>12.99</v>
      </c>
    </row>
    <row r="78" spans="1:7">
      <c r="A78" s="8" t="s">
        <v>11</v>
      </c>
      <c r="B78">
        <v>121221</v>
      </c>
      <c r="C78" t="s">
        <v>40</v>
      </c>
      <c r="D78" t="s">
        <v>117</v>
      </c>
      <c r="E78" s="9">
        <v>6.4000000000000001E-2</v>
      </c>
      <c r="F78" s="10">
        <v>1098</v>
      </c>
      <c r="G78" s="11">
        <v>17.16</v>
      </c>
    </row>
    <row r="79" spans="1:7">
      <c r="A79" s="8" t="s">
        <v>11</v>
      </c>
      <c r="B79">
        <v>121221</v>
      </c>
      <c r="C79" t="s">
        <v>40</v>
      </c>
      <c r="D79" t="s">
        <v>118</v>
      </c>
      <c r="E79" s="9">
        <v>0.44269999999999998</v>
      </c>
      <c r="F79" s="10">
        <v>5902</v>
      </c>
      <c r="G79" s="11">
        <v>13.33</v>
      </c>
    </row>
    <row r="80" spans="1:7">
      <c r="A80" s="8" t="s">
        <v>11</v>
      </c>
      <c r="B80">
        <v>121221</v>
      </c>
      <c r="C80" t="s">
        <v>40</v>
      </c>
      <c r="D80" t="s">
        <v>119</v>
      </c>
      <c r="E80" s="9">
        <v>1.2012799999999999</v>
      </c>
      <c r="F80" s="10">
        <v>27070</v>
      </c>
      <c r="G80" s="11">
        <v>22.53</v>
      </c>
    </row>
    <row r="81" spans="1:7">
      <c r="A81" s="8" t="s">
        <v>11</v>
      </c>
      <c r="B81">
        <v>121221</v>
      </c>
      <c r="C81" t="s">
        <v>40</v>
      </c>
      <c r="D81" t="s">
        <v>120</v>
      </c>
      <c r="E81" s="9">
        <v>0.50714999999999999</v>
      </c>
      <c r="F81" s="10">
        <v>8653</v>
      </c>
      <c r="G81" s="11">
        <v>17.059999999999999</v>
      </c>
    </row>
    <row r="82" spans="1:7">
      <c r="A82" s="8" t="s">
        <v>11</v>
      </c>
      <c r="B82">
        <v>121221</v>
      </c>
      <c r="C82" t="s">
        <v>40</v>
      </c>
      <c r="D82" t="s">
        <v>121</v>
      </c>
      <c r="E82" s="9">
        <v>5.7953099999999997</v>
      </c>
      <c r="F82" s="10">
        <v>38444</v>
      </c>
      <c r="G82" s="11">
        <v>6.63</v>
      </c>
    </row>
    <row r="83" spans="1:7">
      <c r="A83" s="8" t="s">
        <v>11</v>
      </c>
      <c r="B83">
        <v>121221</v>
      </c>
      <c r="C83" t="s">
        <v>40</v>
      </c>
      <c r="D83" t="s">
        <v>122</v>
      </c>
      <c r="E83" s="9">
        <v>2818.9940000000001</v>
      </c>
      <c r="F83" s="10">
        <v>39101774</v>
      </c>
      <c r="G83" s="11">
        <v>13.87</v>
      </c>
    </row>
    <row r="84" spans="1:7">
      <c r="A84" s="8" t="s">
        <v>11</v>
      </c>
      <c r="B84">
        <v>121221</v>
      </c>
      <c r="C84" t="s">
        <v>40</v>
      </c>
      <c r="D84" t="s">
        <v>123</v>
      </c>
      <c r="E84" s="9">
        <v>1.2E-2</v>
      </c>
      <c r="F84" s="10">
        <v>51</v>
      </c>
      <c r="G84" s="11">
        <v>4.25</v>
      </c>
    </row>
    <row r="85" spans="1:7">
      <c r="A85" s="8" t="s">
        <v>11</v>
      </c>
      <c r="B85">
        <v>121221</v>
      </c>
      <c r="C85" t="s">
        <v>40</v>
      </c>
      <c r="D85" t="s">
        <v>124</v>
      </c>
      <c r="E85" s="9">
        <v>10.90422</v>
      </c>
      <c r="F85" s="10">
        <v>76042</v>
      </c>
      <c r="G85" s="11">
        <v>6.97</v>
      </c>
    </row>
    <row r="86" spans="1:7">
      <c r="A86" s="8" t="s">
        <v>11</v>
      </c>
      <c r="B86">
        <v>121221</v>
      </c>
      <c r="C86" t="s">
        <v>40</v>
      </c>
      <c r="D86" t="s">
        <v>125</v>
      </c>
      <c r="E86" s="9">
        <v>9.8199999999999996E-2</v>
      </c>
      <c r="F86" s="10">
        <v>566</v>
      </c>
      <c r="G86" s="11">
        <v>5.76</v>
      </c>
    </row>
    <row r="87" spans="1:7">
      <c r="A87" s="8" t="s">
        <v>11</v>
      </c>
      <c r="B87">
        <v>121221</v>
      </c>
      <c r="C87" t="s">
        <v>40</v>
      </c>
      <c r="D87" t="s">
        <v>126</v>
      </c>
      <c r="E87" s="9">
        <v>13.311999999999999</v>
      </c>
      <c r="F87" s="10">
        <v>124742</v>
      </c>
      <c r="G87" s="11">
        <v>9.3699999999999992</v>
      </c>
    </row>
    <row r="88" spans="1:7">
      <c r="A88" s="8" t="s">
        <v>11</v>
      </c>
      <c r="B88">
        <v>121221</v>
      </c>
      <c r="C88" t="s">
        <v>40</v>
      </c>
      <c r="D88" t="s">
        <v>127</v>
      </c>
      <c r="E88" s="9">
        <v>16.84695</v>
      </c>
      <c r="F88" s="10">
        <v>372825</v>
      </c>
      <c r="G88" s="11">
        <v>22.13</v>
      </c>
    </row>
    <row r="89" spans="1:7">
      <c r="A89" s="8" t="s">
        <v>11</v>
      </c>
      <c r="B89">
        <v>121221</v>
      </c>
      <c r="C89" t="s">
        <v>40</v>
      </c>
      <c r="D89" t="s">
        <v>128</v>
      </c>
      <c r="E89" s="9">
        <v>0.20250000000000001</v>
      </c>
      <c r="F89" s="10">
        <v>3787</v>
      </c>
      <c r="G89" s="11">
        <v>18.7</v>
      </c>
    </row>
    <row r="90" spans="1:7">
      <c r="A90" s="8" t="s">
        <v>11</v>
      </c>
      <c r="B90">
        <v>121221</v>
      </c>
      <c r="C90" t="s">
        <v>40</v>
      </c>
      <c r="D90" t="s">
        <v>129</v>
      </c>
      <c r="E90" s="9">
        <v>46.624200000000002</v>
      </c>
      <c r="F90" s="10">
        <v>454117</v>
      </c>
      <c r="G90" s="11">
        <v>9.74</v>
      </c>
    </row>
    <row r="91" spans="1:7">
      <c r="A91" s="8" t="s">
        <v>11</v>
      </c>
      <c r="B91">
        <v>121221</v>
      </c>
      <c r="C91" t="s">
        <v>40</v>
      </c>
      <c r="D91" t="s">
        <v>130</v>
      </c>
      <c r="E91" s="9">
        <v>2089.069</v>
      </c>
      <c r="F91" s="10">
        <v>20102575</v>
      </c>
      <c r="G91" s="11">
        <v>9.6199999999999992</v>
      </c>
    </row>
    <row r="92" spans="1:7">
      <c r="A92" s="8" t="s">
        <v>11</v>
      </c>
      <c r="B92">
        <v>121221</v>
      </c>
      <c r="C92" t="s">
        <v>40</v>
      </c>
      <c r="D92" t="s">
        <v>131</v>
      </c>
      <c r="E92" s="9">
        <v>3.0630999999999999</v>
      </c>
      <c r="F92" s="10">
        <v>32303</v>
      </c>
      <c r="G92" s="11">
        <v>10.55</v>
      </c>
    </row>
    <row r="93" spans="1:7">
      <c r="A93" s="8" t="s">
        <v>11</v>
      </c>
      <c r="B93">
        <v>121221</v>
      </c>
      <c r="C93" t="s">
        <v>40</v>
      </c>
      <c r="D93" t="s">
        <v>132</v>
      </c>
      <c r="E93" s="9">
        <v>0.11576</v>
      </c>
      <c r="F93" s="10">
        <v>2098</v>
      </c>
      <c r="G93" s="11">
        <v>18.12</v>
      </c>
    </row>
    <row r="94" spans="1:7">
      <c r="A94" s="8" t="s">
        <v>11</v>
      </c>
      <c r="B94">
        <v>200899</v>
      </c>
      <c r="C94" t="s">
        <v>133</v>
      </c>
      <c r="D94" t="s">
        <v>41</v>
      </c>
      <c r="E94" s="9">
        <v>25297.544379999999</v>
      </c>
      <c r="F94" s="10">
        <v>553986432</v>
      </c>
      <c r="G94" s="11">
        <v>21.9</v>
      </c>
    </row>
    <row r="95" spans="1:7">
      <c r="A95" s="8" t="s">
        <v>11</v>
      </c>
      <c r="B95">
        <v>200899</v>
      </c>
      <c r="C95" t="s">
        <v>133</v>
      </c>
      <c r="D95" t="s">
        <v>134</v>
      </c>
      <c r="E95" s="9">
        <v>9.4832E-2</v>
      </c>
      <c r="F95" s="10">
        <v>2583</v>
      </c>
      <c r="G95" s="11">
        <v>27.24</v>
      </c>
    </row>
    <row r="96" spans="1:7">
      <c r="A96" s="8" t="s">
        <v>11</v>
      </c>
      <c r="B96">
        <v>200899</v>
      </c>
      <c r="C96" t="s">
        <v>133</v>
      </c>
      <c r="D96" t="s">
        <v>42</v>
      </c>
      <c r="E96" s="9">
        <v>1.584E-2</v>
      </c>
      <c r="F96" s="10">
        <v>265</v>
      </c>
      <c r="G96" s="11">
        <v>16.73</v>
      </c>
    </row>
    <row r="97" spans="1:7">
      <c r="A97" s="8" t="s">
        <v>11</v>
      </c>
      <c r="B97">
        <v>200899</v>
      </c>
      <c r="C97" t="s">
        <v>133</v>
      </c>
      <c r="D97" t="s">
        <v>43</v>
      </c>
      <c r="E97" s="9">
        <v>1.6234599999999999</v>
      </c>
      <c r="F97" s="10">
        <v>44957</v>
      </c>
      <c r="G97" s="11">
        <v>27.69</v>
      </c>
    </row>
    <row r="98" spans="1:7">
      <c r="A98" s="8" t="s">
        <v>11</v>
      </c>
      <c r="B98">
        <v>200899</v>
      </c>
      <c r="C98" t="s">
        <v>133</v>
      </c>
      <c r="D98" t="s">
        <v>44</v>
      </c>
      <c r="E98" s="9">
        <v>807.51980000000003</v>
      </c>
      <c r="F98" s="10">
        <v>16503470</v>
      </c>
      <c r="G98" s="11">
        <v>20.440000000000001</v>
      </c>
    </row>
    <row r="99" spans="1:7">
      <c r="A99" s="8" t="s">
        <v>11</v>
      </c>
      <c r="B99">
        <v>200899</v>
      </c>
      <c r="C99" t="s">
        <v>133</v>
      </c>
      <c r="D99" t="s">
        <v>45</v>
      </c>
      <c r="E99" s="9">
        <v>48.799779999999998</v>
      </c>
      <c r="F99" s="10">
        <v>306792</v>
      </c>
      <c r="G99" s="11">
        <v>6.29</v>
      </c>
    </row>
    <row r="100" spans="1:7">
      <c r="A100" s="8" t="s">
        <v>11</v>
      </c>
      <c r="B100">
        <v>200899</v>
      </c>
      <c r="C100" t="s">
        <v>133</v>
      </c>
      <c r="D100" t="s">
        <v>46</v>
      </c>
      <c r="E100" s="9">
        <v>0.21676999999999999</v>
      </c>
      <c r="F100" s="10">
        <v>10963</v>
      </c>
      <c r="G100" s="11">
        <v>50.57</v>
      </c>
    </row>
    <row r="101" spans="1:7">
      <c r="A101" s="8" t="s">
        <v>11</v>
      </c>
      <c r="B101">
        <v>200899</v>
      </c>
      <c r="C101" t="s">
        <v>133</v>
      </c>
      <c r="D101" t="s">
        <v>47</v>
      </c>
      <c r="E101" s="9">
        <v>1.6897200000000001</v>
      </c>
      <c r="F101" s="10">
        <v>28939</v>
      </c>
      <c r="G101" s="11">
        <v>17.13</v>
      </c>
    </row>
    <row r="102" spans="1:7">
      <c r="A102" s="8" t="s">
        <v>11</v>
      </c>
      <c r="B102">
        <v>200899</v>
      </c>
      <c r="C102" t="s">
        <v>133</v>
      </c>
      <c r="D102" t="s">
        <v>48</v>
      </c>
      <c r="E102" s="9">
        <v>344.44528000000003</v>
      </c>
      <c r="F102" s="10">
        <v>1411042</v>
      </c>
      <c r="G102" s="11">
        <v>4.0999999999999996</v>
      </c>
    </row>
    <row r="103" spans="1:7">
      <c r="A103" s="8" t="s">
        <v>11</v>
      </c>
      <c r="B103">
        <v>200899</v>
      </c>
      <c r="C103" t="s">
        <v>133</v>
      </c>
      <c r="D103" t="s">
        <v>135</v>
      </c>
      <c r="E103" s="9">
        <v>0.12103999999999999</v>
      </c>
      <c r="F103" s="10">
        <v>22730</v>
      </c>
      <c r="G103" s="11">
        <v>187.79</v>
      </c>
    </row>
    <row r="104" spans="1:7">
      <c r="A104" s="8" t="s">
        <v>11</v>
      </c>
      <c r="B104">
        <v>200899</v>
      </c>
      <c r="C104" t="s">
        <v>133</v>
      </c>
      <c r="D104" t="s">
        <v>49</v>
      </c>
      <c r="E104" s="9">
        <v>1.6979599999999999</v>
      </c>
      <c r="F104" s="10">
        <v>48182</v>
      </c>
      <c r="G104" s="11">
        <v>28.38</v>
      </c>
    </row>
    <row r="105" spans="1:7">
      <c r="A105" s="8" t="s">
        <v>11</v>
      </c>
      <c r="B105">
        <v>200899</v>
      </c>
      <c r="C105" t="s">
        <v>133</v>
      </c>
      <c r="D105" t="s">
        <v>50</v>
      </c>
      <c r="E105" s="9">
        <v>135.39283</v>
      </c>
      <c r="F105" s="10">
        <v>2967452</v>
      </c>
      <c r="G105" s="11">
        <v>21.92</v>
      </c>
    </row>
    <row r="106" spans="1:7">
      <c r="A106" s="8" t="s">
        <v>11</v>
      </c>
      <c r="B106">
        <v>200899</v>
      </c>
      <c r="C106" t="s">
        <v>133</v>
      </c>
      <c r="D106" t="s">
        <v>51</v>
      </c>
      <c r="E106" s="9">
        <v>6.5759400000000001</v>
      </c>
      <c r="F106" s="10">
        <v>66859</v>
      </c>
      <c r="G106" s="11">
        <v>10.17</v>
      </c>
    </row>
    <row r="107" spans="1:7">
      <c r="A107" s="8" t="s">
        <v>11</v>
      </c>
      <c r="B107">
        <v>200899</v>
      </c>
      <c r="C107" t="s">
        <v>133</v>
      </c>
      <c r="D107" t="s">
        <v>136</v>
      </c>
      <c r="E107" s="9">
        <v>2.0026000000000002</v>
      </c>
      <c r="F107" s="10">
        <v>48870</v>
      </c>
      <c r="G107" s="11">
        <v>24.4</v>
      </c>
    </row>
    <row r="108" spans="1:7">
      <c r="A108" s="8" t="s">
        <v>11</v>
      </c>
      <c r="B108">
        <v>200899</v>
      </c>
      <c r="C108" t="s">
        <v>133</v>
      </c>
      <c r="D108" t="s">
        <v>52</v>
      </c>
      <c r="E108" s="9">
        <v>18.09854</v>
      </c>
      <c r="F108" s="10">
        <v>727104</v>
      </c>
      <c r="G108" s="11">
        <v>40.17</v>
      </c>
    </row>
    <row r="109" spans="1:7">
      <c r="A109" s="8" t="s">
        <v>11</v>
      </c>
      <c r="B109">
        <v>200899</v>
      </c>
      <c r="C109" t="s">
        <v>133</v>
      </c>
      <c r="D109" t="s">
        <v>137</v>
      </c>
      <c r="E109" s="9">
        <v>9.66</v>
      </c>
      <c r="F109" s="10">
        <v>216300</v>
      </c>
      <c r="G109" s="11">
        <v>22.39</v>
      </c>
    </row>
    <row r="110" spans="1:7">
      <c r="A110" s="8" t="s">
        <v>11</v>
      </c>
      <c r="B110">
        <v>200899</v>
      </c>
      <c r="C110" t="s">
        <v>133</v>
      </c>
      <c r="D110" t="s">
        <v>53</v>
      </c>
      <c r="E110" s="9">
        <v>25.2318</v>
      </c>
      <c r="F110" s="10">
        <v>421091</v>
      </c>
      <c r="G110" s="11">
        <v>16.690000000000001</v>
      </c>
    </row>
    <row r="111" spans="1:7">
      <c r="A111" s="8" t="s">
        <v>11</v>
      </c>
      <c r="B111">
        <v>200899</v>
      </c>
      <c r="C111" t="s">
        <v>133</v>
      </c>
      <c r="D111" t="s">
        <v>138</v>
      </c>
      <c r="E111" s="9">
        <v>0.01</v>
      </c>
      <c r="F111" s="10">
        <v>20</v>
      </c>
      <c r="G111" s="11">
        <v>2</v>
      </c>
    </row>
    <row r="112" spans="1:7">
      <c r="A112" s="8" t="s">
        <v>11</v>
      </c>
      <c r="B112">
        <v>200899</v>
      </c>
      <c r="C112" t="s">
        <v>133</v>
      </c>
      <c r="D112" t="s">
        <v>54</v>
      </c>
      <c r="E112" s="9">
        <v>851.52160000000003</v>
      </c>
      <c r="F112" s="10">
        <v>22064598</v>
      </c>
      <c r="G112" s="11">
        <v>25.91</v>
      </c>
    </row>
    <row r="113" spans="1:7">
      <c r="A113" s="8" t="s">
        <v>11</v>
      </c>
      <c r="B113">
        <v>200899</v>
      </c>
      <c r="C113" t="s">
        <v>133</v>
      </c>
      <c r="D113" t="s">
        <v>55</v>
      </c>
      <c r="E113" s="9">
        <v>70.307460000000006</v>
      </c>
      <c r="F113" s="10">
        <v>1472434</v>
      </c>
      <c r="G113" s="11">
        <v>20.94</v>
      </c>
    </row>
    <row r="114" spans="1:7">
      <c r="A114" s="8" t="s">
        <v>11</v>
      </c>
      <c r="B114">
        <v>200899</v>
      </c>
      <c r="C114" t="s">
        <v>133</v>
      </c>
      <c r="D114" t="s">
        <v>56</v>
      </c>
      <c r="E114" s="9">
        <v>3945.181</v>
      </c>
      <c r="F114" s="10">
        <v>107913115</v>
      </c>
      <c r="G114" s="11">
        <v>27.35</v>
      </c>
    </row>
    <row r="115" spans="1:7">
      <c r="A115" s="8" t="s">
        <v>11</v>
      </c>
      <c r="B115">
        <v>200899</v>
      </c>
      <c r="C115" t="s">
        <v>133</v>
      </c>
      <c r="D115" t="s">
        <v>57</v>
      </c>
      <c r="E115" s="9">
        <v>8.5881799999999995</v>
      </c>
      <c r="F115" s="10">
        <v>163161</v>
      </c>
      <c r="G115" s="11">
        <v>19</v>
      </c>
    </row>
    <row r="116" spans="1:7">
      <c r="A116" s="8" t="s">
        <v>11</v>
      </c>
      <c r="B116">
        <v>200899</v>
      </c>
      <c r="C116" t="s">
        <v>133</v>
      </c>
      <c r="D116" t="s">
        <v>139</v>
      </c>
      <c r="E116" s="9">
        <v>3.6700000000000003E-2</v>
      </c>
      <c r="F116" s="10">
        <v>1376</v>
      </c>
      <c r="G116" s="11">
        <v>37.49</v>
      </c>
    </row>
    <row r="117" spans="1:7">
      <c r="A117" s="8" t="s">
        <v>11</v>
      </c>
      <c r="B117">
        <v>200899</v>
      </c>
      <c r="C117" t="s">
        <v>133</v>
      </c>
      <c r="D117" t="s">
        <v>58</v>
      </c>
      <c r="E117" s="9">
        <v>5.0343999999999998</v>
      </c>
      <c r="F117" s="10">
        <v>106784</v>
      </c>
      <c r="G117" s="11">
        <v>21.21</v>
      </c>
    </row>
    <row r="118" spans="1:7">
      <c r="A118" s="8" t="s">
        <v>11</v>
      </c>
      <c r="B118">
        <v>200899</v>
      </c>
      <c r="C118" t="s">
        <v>133</v>
      </c>
      <c r="D118" t="s">
        <v>59</v>
      </c>
      <c r="E118" s="9">
        <v>28.27628</v>
      </c>
      <c r="F118" s="10">
        <v>359708</v>
      </c>
      <c r="G118" s="11">
        <v>12.72</v>
      </c>
    </row>
    <row r="119" spans="1:7">
      <c r="A119" s="8" t="s">
        <v>11</v>
      </c>
      <c r="B119">
        <v>200899</v>
      </c>
      <c r="C119" t="s">
        <v>133</v>
      </c>
      <c r="D119" t="s">
        <v>60</v>
      </c>
      <c r="E119" s="9">
        <v>69.209779999999995</v>
      </c>
      <c r="F119" s="10">
        <v>314568</v>
      </c>
      <c r="G119" s="11">
        <v>4.55</v>
      </c>
    </row>
    <row r="120" spans="1:7">
      <c r="A120" s="8" t="s">
        <v>11</v>
      </c>
      <c r="B120">
        <v>200899</v>
      </c>
      <c r="C120" t="s">
        <v>133</v>
      </c>
      <c r="D120" t="s">
        <v>61</v>
      </c>
      <c r="E120" s="9">
        <v>0.17166000000000001</v>
      </c>
      <c r="F120" s="10">
        <v>6821</v>
      </c>
      <c r="G120" s="11">
        <v>39.74</v>
      </c>
    </row>
    <row r="121" spans="1:7">
      <c r="A121" s="8" t="s">
        <v>11</v>
      </c>
      <c r="B121">
        <v>200899</v>
      </c>
      <c r="C121" t="s">
        <v>133</v>
      </c>
      <c r="D121" t="s">
        <v>140</v>
      </c>
      <c r="E121" s="9">
        <v>2.3868</v>
      </c>
      <c r="F121" s="10">
        <v>89030</v>
      </c>
      <c r="G121" s="11">
        <v>37.299999999999997</v>
      </c>
    </row>
    <row r="122" spans="1:7">
      <c r="A122" s="8" t="s">
        <v>11</v>
      </c>
      <c r="B122">
        <v>200899</v>
      </c>
      <c r="C122" t="s">
        <v>133</v>
      </c>
      <c r="D122" t="s">
        <v>141</v>
      </c>
      <c r="E122" s="9">
        <v>4.7482800000000003</v>
      </c>
      <c r="F122" s="10">
        <v>180995</v>
      </c>
      <c r="G122" s="11">
        <v>38.119999999999997</v>
      </c>
    </row>
    <row r="123" spans="1:7">
      <c r="A123" s="8" t="s">
        <v>11</v>
      </c>
      <c r="B123">
        <v>200899</v>
      </c>
      <c r="C123" t="s">
        <v>133</v>
      </c>
      <c r="D123" t="s">
        <v>62</v>
      </c>
      <c r="E123" s="9">
        <v>0.31418000000000001</v>
      </c>
      <c r="F123" s="10">
        <v>9493</v>
      </c>
      <c r="G123" s="11">
        <v>30.22</v>
      </c>
    </row>
    <row r="124" spans="1:7">
      <c r="A124" s="8" t="s">
        <v>11</v>
      </c>
      <c r="B124">
        <v>200899</v>
      </c>
      <c r="C124" t="s">
        <v>133</v>
      </c>
      <c r="D124" t="s">
        <v>142</v>
      </c>
      <c r="E124" s="9">
        <v>31.45308</v>
      </c>
      <c r="F124" s="10">
        <v>377437</v>
      </c>
      <c r="G124" s="11">
        <v>12</v>
      </c>
    </row>
    <row r="125" spans="1:7">
      <c r="A125" s="8" t="s">
        <v>11</v>
      </c>
      <c r="B125">
        <v>200899</v>
      </c>
      <c r="C125" t="s">
        <v>133</v>
      </c>
      <c r="D125" t="s">
        <v>63</v>
      </c>
      <c r="E125" s="9">
        <v>288.9153</v>
      </c>
      <c r="F125" s="10">
        <v>7701910</v>
      </c>
      <c r="G125" s="11">
        <v>26.66</v>
      </c>
    </row>
    <row r="126" spans="1:7">
      <c r="A126" s="8" t="s">
        <v>11</v>
      </c>
      <c r="B126">
        <v>200899</v>
      </c>
      <c r="C126" t="s">
        <v>133</v>
      </c>
      <c r="D126" t="s">
        <v>143</v>
      </c>
      <c r="E126" s="9">
        <v>1.15E-2</v>
      </c>
      <c r="F126" s="10">
        <v>378</v>
      </c>
      <c r="G126" s="11">
        <v>32.869999999999997</v>
      </c>
    </row>
    <row r="127" spans="1:7">
      <c r="A127" s="8" t="s">
        <v>11</v>
      </c>
      <c r="B127">
        <v>200899</v>
      </c>
      <c r="C127" t="s">
        <v>133</v>
      </c>
      <c r="D127" t="s">
        <v>64</v>
      </c>
      <c r="E127" s="9">
        <v>571.42309999999998</v>
      </c>
      <c r="F127" s="10">
        <v>12784604</v>
      </c>
      <c r="G127" s="11">
        <v>22.37</v>
      </c>
    </row>
    <row r="128" spans="1:7">
      <c r="A128" s="8" t="s">
        <v>11</v>
      </c>
      <c r="B128">
        <v>200899</v>
      </c>
      <c r="C128" t="s">
        <v>133</v>
      </c>
      <c r="D128" t="s">
        <v>144</v>
      </c>
      <c r="E128" s="9">
        <v>3.2000000000000001E-2</v>
      </c>
      <c r="F128" s="10">
        <v>336</v>
      </c>
      <c r="G128" s="11">
        <v>10.5</v>
      </c>
    </row>
    <row r="129" spans="1:7">
      <c r="A129" s="8" t="s">
        <v>11</v>
      </c>
      <c r="B129">
        <v>200899</v>
      </c>
      <c r="C129" t="s">
        <v>133</v>
      </c>
      <c r="D129" t="s">
        <v>65</v>
      </c>
      <c r="E129" s="9">
        <v>6.3121</v>
      </c>
      <c r="F129" s="10">
        <v>174915</v>
      </c>
      <c r="G129" s="11">
        <v>27.71</v>
      </c>
    </row>
    <row r="130" spans="1:7">
      <c r="A130" s="8" t="s">
        <v>11</v>
      </c>
      <c r="B130">
        <v>200899</v>
      </c>
      <c r="C130" t="s">
        <v>133</v>
      </c>
      <c r="D130" t="s">
        <v>66</v>
      </c>
      <c r="E130" s="9">
        <v>23.419781</v>
      </c>
      <c r="F130" s="10">
        <v>361596</v>
      </c>
      <c r="G130" s="11">
        <v>15.44</v>
      </c>
    </row>
    <row r="131" spans="1:7">
      <c r="A131" s="8" t="s">
        <v>11</v>
      </c>
      <c r="B131">
        <v>200899</v>
      </c>
      <c r="C131" t="s">
        <v>133</v>
      </c>
      <c r="D131" t="s">
        <v>67</v>
      </c>
      <c r="E131" s="9">
        <v>7.9795559999999996</v>
      </c>
      <c r="F131" s="10">
        <v>73601</v>
      </c>
      <c r="G131" s="11">
        <v>9.2200000000000006</v>
      </c>
    </row>
    <row r="132" spans="1:7">
      <c r="A132" s="8" t="s">
        <v>11</v>
      </c>
      <c r="B132">
        <v>200899</v>
      </c>
      <c r="C132" t="s">
        <v>133</v>
      </c>
      <c r="D132" t="s">
        <v>69</v>
      </c>
      <c r="E132" s="9">
        <v>6.5189999999999998E-2</v>
      </c>
      <c r="F132" s="10">
        <v>1499</v>
      </c>
      <c r="G132" s="11">
        <v>22.99</v>
      </c>
    </row>
    <row r="133" spans="1:7">
      <c r="A133" s="8" t="s">
        <v>11</v>
      </c>
      <c r="B133">
        <v>200899</v>
      </c>
      <c r="C133" t="s">
        <v>133</v>
      </c>
      <c r="D133" t="s">
        <v>70</v>
      </c>
      <c r="E133" s="9">
        <v>575.8954</v>
      </c>
      <c r="F133" s="10">
        <v>9170511</v>
      </c>
      <c r="G133" s="11">
        <v>15.92</v>
      </c>
    </row>
    <row r="134" spans="1:7">
      <c r="A134" s="8" t="s">
        <v>11</v>
      </c>
      <c r="B134">
        <v>200899</v>
      </c>
      <c r="C134" t="s">
        <v>133</v>
      </c>
      <c r="D134" t="s">
        <v>71</v>
      </c>
      <c r="E134" s="9">
        <v>0.26876</v>
      </c>
      <c r="F134" s="10">
        <v>8519</v>
      </c>
      <c r="G134" s="11">
        <v>31.7</v>
      </c>
    </row>
    <row r="135" spans="1:7">
      <c r="A135" s="8" t="s">
        <v>11</v>
      </c>
      <c r="B135">
        <v>200899</v>
      </c>
      <c r="C135" t="s">
        <v>133</v>
      </c>
      <c r="D135" t="s">
        <v>72</v>
      </c>
      <c r="E135" s="9">
        <v>179.07685000000001</v>
      </c>
      <c r="F135" s="10">
        <v>4548037</v>
      </c>
      <c r="G135" s="11">
        <v>25.4</v>
      </c>
    </row>
    <row r="136" spans="1:7">
      <c r="A136" s="8" t="s">
        <v>11</v>
      </c>
      <c r="B136">
        <v>200899</v>
      </c>
      <c r="C136" t="s">
        <v>133</v>
      </c>
      <c r="D136" t="s">
        <v>73</v>
      </c>
      <c r="E136" s="9">
        <v>1.2957000000000001</v>
      </c>
      <c r="F136" s="10">
        <v>13135</v>
      </c>
      <c r="G136" s="11">
        <v>10.14</v>
      </c>
    </row>
    <row r="137" spans="1:7">
      <c r="A137" s="8" t="s">
        <v>11</v>
      </c>
      <c r="B137">
        <v>200899</v>
      </c>
      <c r="C137" t="s">
        <v>133</v>
      </c>
      <c r="D137" t="s">
        <v>74</v>
      </c>
      <c r="E137" s="9">
        <v>1.4611000000000001</v>
      </c>
      <c r="F137" s="10">
        <v>44737</v>
      </c>
      <c r="G137" s="11">
        <v>30.62</v>
      </c>
    </row>
    <row r="138" spans="1:7">
      <c r="A138" s="8" t="s">
        <v>11</v>
      </c>
      <c r="B138">
        <v>200899</v>
      </c>
      <c r="C138" t="s">
        <v>133</v>
      </c>
      <c r="D138" t="s">
        <v>75</v>
      </c>
      <c r="E138" s="9">
        <v>31.385449999999999</v>
      </c>
      <c r="F138" s="10">
        <v>1020820</v>
      </c>
      <c r="G138" s="11">
        <v>32.53</v>
      </c>
    </row>
    <row r="139" spans="1:7">
      <c r="A139" s="8" t="s">
        <v>11</v>
      </c>
      <c r="B139">
        <v>200899</v>
      </c>
      <c r="C139" t="s">
        <v>133</v>
      </c>
      <c r="D139" t="s">
        <v>76</v>
      </c>
      <c r="E139" s="9">
        <v>64.738820000000004</v>
      </c>
      <c r="F139" s="10">
        <v>1706220</v>
      </c>
      <c r="G139" s="11">
        <v>26.36</v>
      </c>
    </row>
    <row r="140" spans="1:7">
      <c r="A140" s="8" t="s">
        <v>11</v>
      </c>
      <c r="B140">
        <v>200899</v>
      </c>
      <c r="C140" t="s">
        <v>133</v>
      </c>
      <c r="D140" t="s">
        <v>77</v>
      </c>
      <c r="E140" s="9">
        <v>9.3130000000000004E-2</v>
      </c>
      <c r="F140" s="10">
        <v>1609</v>
      </c>
      <c r="G140" s="11">
        <v>17.28</v>
      </c>
    </row>
    <row r="141" spans="1:7">
      <c r="A141" s="8" t="s">
        <v>11</v>
      </c>
      <c r="B141">
        <v>200899</v>
      </c>
      <c r="C141" t="s">
        <v>133</v>
      </c>
      <c r="D141" t="s">
        <v>78</v>
      </c>
      <c r="E141" s="9">
        <v>3503.8530000000001</v>
      </c>
      <c r="F141" s="10">
        <v>77365645</v>
      </c>
      <c r="G141" s="11">
        <v>22.08</v>
      </c>
    </row>
    <row r="142" spans="1:7">
      <c r="A142" s="8" t="s">
        <v>11</v>
      </c>
      <c r="B142">
        <v>200899</v>
      </c>
      <c r="C142" t="s">
        <v>133</v>
      </c>
      <c r="D142" t="s">
        <v>79</v>
      </c>
      <c r="E142" s="9">
        <v>38.6248</v>
      </c>
      <c r="F142" s="10">
        <v>797828</v>
      </c>
      <c r="G142" s="11">
        <v>20.66</v>
      </c>
    </row>
    <row r="143" spans="1:7">
      <c r="A143" s="8" t="s">
        <v>11</v>
      </c>
      <c r="B143">
        <v>200899</v>
      </c>
      <c r="C143" t="s">
        <v>133</v>
      </c>
      <c r="D143" t="s">
        <v>145</v>
      </c>
      <c r="E143" s="9">
        <v>2.4E-2</v>
      </c>
      <c r="F143" s="10">
        <v>827</v>
      </c>
      <c r="G143" s="11">
        <v>34.46</v>
      </c>
    </row>
    <row r="144" spans="1:7">
      <c r="A144" s="8" t="s">
        <v>11</v>
      </c>
      <c r="B144">
        <v>200899</v>
      </c>
      <c r="C144" t="s">
        <v>133</v>
      </c>
      <c r="D144" t="s">
        <v>80</v>
      </c>
      <c r="E144" s="9">
        <v>0.08</v>
      </c>
      <c r="F144" s="10">
        <v>1735</v>
      </c>
      <c r="G144" s="11">
        <v>21.69</v>
      </c>
    </row>
    <row r="145" spans="1:7">
      <c r="A145" s="8" t="s">
        <v>11</v>
      </c>
      <c r="B145">
        <v>200899</v>
      </c>
      <c r="C145" t="s">
        <v>133</v>
      </c>
      <c r="D145" t="s">
        <v>81</v>
      </c>
      <c r="E145" s="9">
        <v>7.0692500000000003</v>
      </c>
      <c r="F145" s="10">
        <v>99619</v>
      </c>
      <c r="G145" s="11">
        <v>14.09</v>
      </c>
    </row>
    <row r="146" spans="1:7">
      <c r="A146" s="8" t="s">
        <v>11</v>
      </c>
      <c r="B146">
        <v>200899</v>
      </c>
      <c r="C146" t="s">
        <v>133</v>
      </c>
      <c r="D146" t="s">
        <v>82</v>
      </c>
      <c r="E146" s="9">
        <v>1.1002000000000001</v>
      </c>
      <c r="F146" s="10">
        <v>33537</v>
      </c>
      <c r="G146" s="11">
        <v>30.48</v>
      </c>
    </row>
    <row r="147" spans="1:7">
      <c r="A147" s="8" t="s">
        <v>11</v>
      </c>
      <c r="B147">
        <v>200899</v>
      </c>
      <c r="C147" t="s">
        <v>133</v>
      </c>
      <c r="D147" t="s">
        <v>83</v>
      </c>
      <c r="E147" s="9">
        <v>8.0943000000000005</v>
      </c>
      <c r="F147" s="10">
        <v>159863</v>
      </c>
      <c r="G147" s="11">
        <v>19.75</v>
      </c>
    </row>
    <row r="148" spans="1:7">
      <c r="A148" s="8" t="s">
        <v>11</v>
      </c>
      <c r="B148">
        <v>200899</v>
      </c>
      <c r="C148" t="s">
        <v>133</v>
      </c>
      <c r="D148" t="s">
        <v>84</v>
      </c>
      <c r="E148" s="9">
        <v>0.73699999999999999</v>
      </c>
      <c r="F148" s="10">
        <v>21177</v>
      </c>
      <c r="G148" s="11">
        <v>28.73</v>
      </c>
    </row>
    <row r="149" spans="1:7">
      <c r="A149" s="8" t="s">
        <v>11</v>
      </c>
      <c r="B149">
        <v>200899</v>
      </c>
      <c r="C149" t="s">
        <v>133</v>
      </c>
      <c r="D149" t="s">
        <v>146</v>
      </c>
      <c r="E149" s="9">
        <v>8.7013999999999996</v>
      </c>
      <c r="F149" s="10">
        <v>214173</v>
      </c>
      <c r="G149" s="11">
        <v>24.61</v>
      </c>
    </row>
    <row r="150" spans="1:7">
      <c r="A150" s="8" t="s">
        <v>11</v>
      </c>
      <c r="B150">
        <v>200899</v>
      </c>
      <c r="C150" t="s">
        <v>133</v>
      </c>
      <c r="D150" t="s">
        <v>147</v>
      </c>
      <c r="E150" s="9">
        <v>3</v>
      </c>
      <c r="F150" s="10">
        <v>85</v>
      </c>
      <c r="G150" s="11">
        <v>0.03</v>
      </c>
    </row>
    <row r="151" spans="1:7">
      <c r="A151" s="8" t="s">
        <v>11</v>
      </c>
      <c r="B151">
        <v>200899</v>
      </c>
      <c r="C151" t="s">
        <v>133</v>
      </c>
      <c r="D151" t="s">
        <v>86</v>
      </c>
      <c r="E151" s="9">
        <v>20.10924</v>
      </c>
      <c r="F151" s="10">
        <v>544500</v>
      </c>
      <c r="G151" s="11">
        <v>27.08</v>
      </c>
    </row>
    <row r="152" spans="1:7">
      <c r="A152" s="8" t="s">
        <v>11</v>
      </c>
      <c r="B152">
        <v>200899</v>
      </c>
      <c r="C152" t="s">
        <v>133</v>
      </c>
      <c r="D152" t="s">
        <v>148</v>
      </c>
      <c r="E152" s="9">
        <v>8.4799999999999997E-3</v>
      </c>
      <c r="F152" s="10">
        <v>371</v>
      </c>
      <c r="G152" s="11">
        <v>43.75</v>
      </c>
    </row>
    <row r="153" spans="1:7">
      <c r="A153" s="8" t="s">
        <v>11</v>
      </c>
      <c r="B153">
        <v>200899</v>
      </c>
      <c r="C153" t="s">
        <v>133</v>
      </c>
      <c r="D153" t="s">
        <v>87</v>
      </c>
      <c r="E153" s="9">
        <v>0.8054</v>
      </c>
      <c r="F153" s="10">
        <v>4975</v>
      </c>
      <c r="G153" s="11">
        <v>6.18</v>
      </c>
    </row>
    <row r="154" spans="1:7">
      <c r="A154" s="8" t="s">
        <v>11</v>
      </c>
      <c r="B154">
        <v>200899</v>
      </c>
      <c r="C154" t="s">
        <v>133</v>
      </c>
      <c r="D154" t="s">
        <v>149</v>
      </c>
      <c r="E154" s="9">
        <v>0.36</v>
      </c>
      <c r="F154" s="10">
        <v>2922</v>
      </c>
      <c r="G154" s="11">
        <v>8.1199999999999992</v>
      </c>
    </row>
    <row r="155" spans="1:7">
      <c r="A155" s="8" t="s">
        <v>11</v>
      </c>
      <c r="B155">
        <v>200899</v>
      </c>
      <c r="C155" t="s">
        <v>133</v>
      </c>
      <c r="D155" t="s">
        <v>88</v>
      </c>
      <c r="E155" s="9">
        <v>310.32319999999999</v>
      </c>
      <c r="F155" s="10">
        <v>4826826</v>
      </c>
      <c r="G155" s="11">
        <v>15.55</v>
      </c>
    </row>
    <row r="156" spans="1:7">
      <c r="A156" s="8" t="s">
        <v>11</v>
      </c>
      <c r="B156">
        <v>200899</v>
      </c>
      <c r="C156" t="s">
        <v>133</v>
      </c>
      <c r="D156" t="s">
        <v>150</v>
      </c>
      <c r="E156" s="9">
        <v>1.0840000000000001</v>
      </c>
      <c r="F156" s="10">
        <v>1330</v>
      </c>
      <c r="G156" s="11">
        <v>1.23</v>
      </c>
    </row>
    <row r="157" spans="1:7">
      <c r="A157" s="8" t="s">
        <v>11</v>
      </c>
      <c r="B157">
        <v>200899</v>
      </c>
      <c r="C157" t="s">
        <v>133</v>
      </c>
      <c r="D157" t="s">
        <v>89</v>
      </c>
      <c r="E157" s="9">
        <v>5.5599999999999997E-2</v>
      </c>
      <c r="F157" s="10">
        <v>2152</v>
      </c>
      <c r="G157" s="11">
        <v>38.71</v>
      </c>
    </row>
    <row r="158" spans="1:7">
      <c r="A158" s="8" t="s">
        <v>11</v>
      </c>
      <c r="B158">
        <v>200899</v>
      </c>
      <c r="C158" t="s">
        <v>133</v>
      </c>
      <c r="D158" t="s">
        <v>90</v>
      </c>
      <c r="E158" s="9">
        <v>60.409700000000001</v>
      </c>
      <c r="F158" s="10">
        <v>1828234</v>
      </c>
      <c r="G158" s="11">
        <v>30.26</v>
      </c>
    </row>
    <row r="159" spans="1:7">
      <c r="A159" s="8" t="s">
        <v>11</v>
      </c>
      <c r="B159">
        <v>200899</v>
      </c>
      <c r="C159" t="s">
        <v>133</v>
      </c>
      <c r="D159" t="s">
        <v>91</v>
      </c>
      <c r="E159" s="9">
        <v>646.33450000000005</v>
      </c>
      <c r="F159" s="10">
        <v>15373151</v>
      </c>
      <c r="G159" s="11">
        <v>23.79</v>
      </c>
    </row>
    <row r="160" spans="1:7">
      <c r="A160" s="8" t="s">
        <v>11</v>
      </c>
      <c r="B160">
        <v>200899</v>
      </c>
      <c r="C160" t="s">
        <v>133</v>
      </c>
      <c r="D160" t="s">
        <v>92</v>
      </c>
      <c r="E160" s="9">
        <v>255.98908</v>
      </c>
      <c r="F160" s="10">
        <v>2460520</v>
      </c>
      <c r="G160" s="11">
        <v>9.61</v>
      </c>
    </row>
    <row r="161" spans="1:7">
      <c r="A161" s="8" t="s">
        <v>11</v>
      </c>
      <c r="B161">
        <v>200899</v>
      </c>
      <c r="C161" t="s">
        <v>133</v>
      </c>
      <c r="D161" t="s">
        <v>93</v>
      </c>
      <c r="E161" s="9">
        <v>6.7621599999999997</v>
      </c>
      <c r="F161" s="10">
        <v>29840</v>
      </c>
      <c r="G161" s="11">
        <v>4.41</v>
      </c>
    </row>
    <row r="162" spans="1:7">
      <c r="A162" s="8" t="s">
        <v>11</v>
      </c>
      <c r="B162">
        <v>200899</v>
      </c>
      <c r="C162" t="s">
        <v>133</v>
      </c>
      <c r="D162" t="s">
        <v>94</v>
      </c>
      <c r="E162" s="9">
        <v>1.77E-2</v>
      </c>
      <c r="F162" s="10">
        <v>1036</v>
      </c>
      <c r="G162" s="11">
        <v>58.53</v>
      </c>
    </row>
    <row r="163" spans="1:7">
      <c r="A163" s="8" t="s">
        <v>11</v>
      </c>
      <c r="B163">
        <v>200899</v>
      </c>
      <c r="C163" t="s">
        <v>133</v>
      </c>
      <c r="D163" t="s">
        <v>151</v>
      </c>
      <c r="E163" s="9">
        <v>0.1779</v>
      </c>
      <c r="F163" s="10">
        <v>5726</v>
      </c>
      <c r="G163" s="11">
        <v>32.19</v>
      </c>
    </row>
    <row r="164" spans="1:7">
      <c r="A164" s="8" t="s">
        <v>11</v>
      </c>
      <c r="B164">
        <v>200899</v>
      </c>
      <c r="C164" t="s">
        <v>133</v>
      </c>
      <c r="D164" t="s">
        <v>152</v>
      </c>
      <c r="E164" s="9">
        <v>0.76190000000000002</v>
      </c>
      <c r="F164" s="10">
        <v>18357</v>
      </c>
      <c r="G164" s="11">
        <v>24.09</v>
      </c>
    </row>
    <row r="165" spans="1:7">
      <c r="A165" s="8" t="s">
        <v>11</v>
      </c>
      <c r="B165">
        <v>200899</v>
      </c>
      <c r="C165" t="s">
        <v>133</v>
      </c>
      <c r="D165" t="s">
        <v>95</v>
      </c>
      <c r="E165" s="9">
        <v>351.38560000000001</v>
      </c>
      <c r="F165" s="10">
        <v>6108278</v>
      </c>
      <c r="G165" s="11">
        <v>17.38</v>
      </c>
    </row>
    <row r="166" spans="1:7">
      <c r="A166" s="8" t="s">
        <v>11</v>
      </c>
      <c r="B166">
        <v>200899</v>
      </c>
      <c r="C166" t="s">
        <v>133</v>
      </c>
      <c r="D166" t="s">
        <v>96</v>
      </c>
      <c r="E166" s="9">
        <v>7.11E-3</v>
      </c>
      <c r="F166" s="10">
        <v>180</v>
      </c>
      <c r="G166" s="11">
        <v>25.32</v>
      </c>
    </row>
    <row r="167" spans="1:7">
      <c r="A167" s="8" t="s">
        <v>11</v>
      </c>
      <c r="B167">
        <v>200899</v>
      </c>
      <c r="C167" t="s">
        <v>133</v>
      </c>
      <c r="D167" t="s">
        <v>153</v>
      </c>
      <c r="E167" s="9">
        <v>3.5000000000000003E-2</v>
      </c>
      <c r="F167" s="10">
        <v>518</v>
      </c>
      <c r="G167" s="11">
        <v>14.8</v>
      </c>
    </row>
    <row r="168" spans="1:7">
      <c r="A168" s="8" t="s">
        <v>11</v>
      </c>
      <c r="B168">
        <v>200899</v>
      </c>
      <c r="C168" t="s">
        <v>133</v>
      </c>
      <c r="D168" t="s">
        <v>97</v>
      </c>
      <c r="E168" s="9">
        <v>140.59667999999999</v>
      </c>
      <c r="F168" s="10">
        <v>3978303</v>
      </c>
      <c r="G168" s="11">
        <v>28.3</v>
      </c>
    </row>
    <row r="169" spans="1:7">
      <c r="A169" s="8" t="s">
        <v>11</v>
      </c>
      <c r="B169">
        <v>200899</v>
      </c>
      <c r="C169" t="s">
        <v>133</v>
      </c>
      <c r="D169" t="s">
        <v>154</v>
      </c>
      <c r="E169" s="9">
        <v>7.4999999999999997E-2</v>
      </c>
      <c r="F169" s="10">
        <v>7713</v>
      </c>
      <c r="G169" s="11">
        <v>102.84</v>
      </c>
    </row>
    <row r="170" spans="1:7">
      <c r="A170" s="8" t="s">
        <v>11</v>
      </c>
      <c r="B170">
        <v>200899</v>
      </c>
      <c r="C170" t="s">
        <v>133</v>
      </c>
      <c r="D170" t="s">
        <v>98</v>
      </c>
      <c r="E170" s="9">
        <v>0.1273</v>
      </c>
      <c r="F170" s="10">
        <v>1207</v>
      </c>
      <c r="G170" s="11">
        <v>9.48</v>
      </c>
    </row>
    <row r="171" spans="1:7">
      <c r="A171" s="8" t="s">
        <v>11</v>
      </c>
      <c r="B171">
        <v>200899</v>
      </c>
      <c r="C171" t="s">
        <v>133</v>
      </c>
      <c r="D171" t="s">
        <v>99</v>
      </c>
      <c r="E171" s="9">
        <v>17.427029999999998</v>
      </c>
      <c r="F171" s="10">
        <v>518495</v>
      </c>
      <c r="G171" s="11">
        <v>29.75</v>
      </c>
    </row>
    <row r="172" spans="1:7">
      <c r="A172" s="8" t="s">
        <v>11</v>
      </c>
      <c r="B172">
        <v>200899</v>
      </c>
      <c r="C172" t="s">
        <v>133</v>
      </c>
      <c r="D172" t="s">
        <v>100</v>
      </c>
      <c r="E172" s="9">
        <v>4.8840599999999998</v>
      </c>
      <c r="F172" s="10">
        <v>117454</v>
      </c>
      <c r="G172" s="11">
        <v>24.05</v>
      </c>
    </row>
    <row r="173" spans="1:7">
      <c r="A173" s="8" t="s">
        <v>11</v>
      </c>
      <c r="B173">
        <v>200899</v>
      </c>
      <c r="C173" t="s">
        <v>133</v>
      </c>
      <c r="D173" t="s">
        <v>155</v>
      </c>
      <c r="E173" s="9">
        <v>0.119688</v>
      </c>
      <c r="F173" s="10">
        <v>3450</v>
      </c>
      <c r="G173" s="11">
        <v>28.82</v>
      </c>
    </row>
    <row r="174" spans="1:7">
      <c r="A174" s="8" t="s">
        <v>11</v>
      </c>
      <c r="B174">
        <v>200899</v>
      </c>
      <c r="C174" t="s">
        <v>133</v>
      </c>
      <c r="D174" t="s">
        <v>101</v>
      </c>
      <c r="E174" s="9">
        <v>4.8578999999999997E-2</v>
      </c>
      <c r="F174" s="10">
        <v>218</v>
      </c>
      <c r="G174" s="11">
        <v>4.49</v>
      </c>
    </row>
    <row r="175" spans="1:7">
      <c r="A175" s="8" t="s">
        <v>11</v>
      </c>
      <c r="B175">
        <v>200899</v>
      </c>
      <c r="C175" t="s">
        <v>133</v>
      </c>
      <c r="D175" t="s">
        <v>102</v>
      </c>
      <c r="E175" s="9">
        <v>0.46561999999999998</v>
      </c>
      <c r="F175" s="10">
        <v>19729</v>
      </c>
      <c r="G175" s="11">
        <v>42.37</v>
      </c>
    </row>
    <row r="176" spans="1:7">
      <c r="A176" s="8" t="s">
        <v>11</v>
      </c>
      <c r="B176">
        <v>200899</v>
      </c>
      <c r="C176" t="s">
        <v>133</v>
      </c>
      <c r="D176" t="s">
        <v>156</v>
      </c>
      <c r="E176" s="9">
        <v>0.55691999999999997</v>
      </c>
      <c r="F176" s="10">
        <v>35162</v>
      </c>
      <c r="G176" s="11">
        <v>63.14</v>
      </c>
    </row>
    <row r="177" spans="1:7">
      <c r="A177" s="8" t="s">
        <v>11</v>
      </c>
      <c r="B177">
        <v>200899</v>
      </c>
      <c r="C177" t="s">
        <v>133</v>
      </c>
      <c r="D177" t="s">
        <v>103</v>
      </c>
      <c r="E177" s="9">
        <v>0.92042000000000002</v>
      </c>
      <c r="F177" s="10">
        <v>29138</v>
      </c>
      <c r="G177" s="11">
        <v>31.66</v>
      </c>
    </row>
    <row r="178" spans="1:7">
      <c r="A178" s="8" t="s">
        <v>11</v>
      </c>
      <c r="B178">
        <v>200899</v>
      </c>
      <c r="C178" t="s">
        <v>133</v>
      </c>
      <c r="D178" t="s">
        <v>104</v>
      </c>
      <c r="E178" s="9">
        <v>3.8004899999999999</v>
      </c>
      <c r="F178" s="10">
        <v>90307</v>
      </c>
      <c r="G178" s="11">
        <v>23.76</v>
      </c>
    </row>
    <row r="179" spans="1:7">
      <c r="A179" s="8" t="s">
        <v>11</v>
      </c>
      <c r="B179">
        <v>200899</v>
      </c>
      <c r="C179" t="s">
        <v>133</v>
      </c>
      <c r="D179" t="s">
        <v>105</v>
      </c>
      <c r="E179" s="9">
        <v>3.1664699999999999</v>
      </c>
      <c r="F179" s="10">
        <v>74109</v>
      </c>
      <c r="G179" s="11">
        <v>23.4</v>
      </c>
    </row>
    <row r="180" spans="1:7">
      <c r="A180" s="8" t="s">
        <v>11</v>
      </c>
      <c r="B180">
        <v>200899</v>
      </c>
      <c r="C180" t="s">
        <v>133</v>
      </c>
      <c r="D180" t="s">
        <v>106</v>
      </c>
      <c r="E180" s="9">
        <v>468.26549999999997</v>
      </c>
      <c r="F180" s="10">
        <v>9641465</v>
      </c>
      <c r="G180" s="11">
        <v>20.59</v>
      </c>
    </row>
    <row r="181" spans="1:7">
      <c r="A181" s="8" t="s">
        <v>11</v>
      </c>
      <c r="B181">
        <v>200899</v>
      </c>
      <c r="C181" t="s">
        <v>133</v>
      </c>
      <c r="D181" t="s">
        <v>107</v>
      </c>
      <c r="E181" s="9">
        <v>167.81049999999999</v>
      </c>
      <c r="F181" s="10">
        <v>4863214</v>
      </c>
      <c r="G181" s="11">
        <v>28.98</v>
      </c>
    </row>
    <row r="182" spans="1:7">
      <c r="A182" s="8" t="s">
        <v>11</v>
      </c>
      <c r="B182">
        <v>200899</v>
      </c>
      <c r="C182" t="s">
        <v>133</v>
      </c>
      <c r="D182" t="s">
        <v>157</v>
      </c>
      <c r="E182" s="9">
        <v>0.77539000000000002</v>
      </c>
      <c r="F182" s="10">
        <v>25966</v>
      </c>
      <c r="G182" s="11">
        <v>33.49</v>
      </c>
    </row>
    <row r="183" spans="1:7">
      <c r="A183" s="8" t="s">
        <v>11</v>
      </c>
      <c r="B183">
        <v>200899</v>
      </c>
      <c r="C183" t="s">
        <v>133</v>
      </c>
      <c r="D183" t="s">
        <v>108</v>
      </c>
      <c r="E183" s="9">
        <v>6.2873799999999997</v>
      </c>
      <c r="F183" s="10">
        <v>202151</v>
      </c>
      <c r="G183" s="11">
        <v>32.15</v>
      </c>
    </row>
    <row r="184" spans="1:7">
      <c r="A184" s="8" t="s">
        <v>11</v>
      </c>
      <c r="B184">
        <v>200899</v>
      </c>
      <c r="C184" t="s">
        <v>133</v>
      </c>
      <c r="D184" t="s">
        <v>158</v>
      </c>
      <c r="E184" s="9">
        <v>2.89</v>
      </c>
      <c r="F184" s="10">
        <v>36305</v>
      </c>
      <c r="G184" s="11">
        <v>12.56</v>
      </c>
    </row>
    <row r="185" spans="1:7">
      <c r="A185" s="8" t="s">
        <v>11</v>
      </c>
      <c r="B185">
        <v>200899</v>
      </c>
      <c r="C185" t="s">
        <v>133</v>
      </c>
      <c r="D185" t="s">
        <v>109</v>
      </c>
      <c r="E185" s="9">
        <v>1127.2764</v>
      </c>
      <c r="F185" s="10">
        <v>22582866</v>
      </c>
      <c r="G185" s="11">
        <v>20.03</v>
      </c>
    </row>
    <row r="186" spans="1:7">
      <c r="A186" s="8" t="s">
        <v>11</v>
      </c>
      <c r="B186">
        <v>200899</v>
      </c>
      <c r="C186" t="s">
        <v>133</v>
      </c>
      <c r="D186" t="s">
        <v>110</v>
      </c>
      <c r="E186" s="9">
        <v>5.8681999999999999</v>
      </c>
      <c r="F186" s="10">
        <v>130851</v>
      </c>
      <c r="G186" s="11">
        <v>22.3</v>
      </c>
    </row>
    <row r="187" spans="1:7">
      <c r="A187" s="8" t="s">
        <v>11</v>
      </c>
      <c r="B187">
        <v>200899</v>
      </c>
      <c r="C187" t="s">
        <v>133</v>
      </c>
      <c r="D187" t="s">
        <v>112</v>
      </c>
      <c r="E187" s="9">
        <v>1.67401</v>
      </c>
      <c r="F187" s="10">
        <v>40779</v>
      </c>
      <c r="G187" s="11">
        <v>24.36</v>
      </c>
    </row>
    <row r="188" spans="1:7">
      <c r="A188" s="8" t="s">
        <v>11</v>
      </c>
      <c r="B188">
        <v>200899</v>
      </c>
      <c r="C188" t="s">
        <v>133</v>
      </c>
      <c r="D188" t="s">
        <v>113</v>
      </c>
      <c r="E188" s="9">
        <v>12.079124</v>
      </c>
      <c r="F188" s="10">
        <v>340498</v>
      </c>
      <c r="G188" s="11">
        <v>28.19</v>
      </c>
    </row>
    <row r="189" spans="1:7">
      <c r="A189" s="8" t="s">
        <v>11</v>
      </c>
      <c r="B189">
        <v>200899</v>
      </c>
      <c r="C189" t="s">
        <v>133</v>
      </c>
      <c r="D189" t="s">
        <v>114</v>
      </c>
      <c r="E189" s="9">
        <v>232.47290000000001</v>
      </c>
      <c r="F189" s="10">
        <v>4344633</v>
      </c>
      <c r="G189" s="11">
        <v>18.690000000000001</v>
      </c>
    </row>
    <row r="190" spans="1:7">
      <c r="A190" s="8" t="s">
        <v>11</v>
      </c>
      <c r="B190">
        <v>200899</v>
      </c>
      <c r="C190" t="s">
        <v>133</v>
      </c>
      <c r="D190" t="s">
        <v>115</v>
      </c>
      <c r="E190" s="9">
        <v>4.8000000000000001E-2</v>
      </c>
      <c r="F190" s="10">
        <v>1198</v>
      </c>
      <c r="G190" s="11">
        <v>24.96</v>
      </c>
    </row>
    <row r="191" spans="1:7">
      <c r="A191" s="8" t="s">
        <v>11</v>
      </c>
      <c r="B191">
        <v>200899</v>
      </c>
      <c r="C191" t="s">
        <v>133</v>
      </c>
      <c r="D191" t="s">
        <v>116</v>
      </c>
      <c r="E191" s="9">
        <v>1072.1623</v>
      </c>
      <c r="F191" s="10">
        <v>17775773</v>
      </c>
      <c r="G191" s="11">
        <v>16.579999999999998</v>
      </c>
    </row>
    <row r="192" spans="1:7">
      <c r="A192" s="8" t="s">
        <v>11</v>
      </c>
      <c r="B192">
        <v>200899</v>
      </c>
      <c r="C192" t="s">
        <v>133</v>
      </c>
      <c r="D192" t="s">
        <v>117</v>
      </c>
      <c r="E192" s="9">
        <v>1.9800000000000002E-2</v>
      </c>
      <c r="F192" s="10">
        <v>768</v>
      </c>
      <c r="G192" s="11">
        <v>38.79</v>
      </c>
    </row>
    <row r="193" spans="1:7">
      <c r="A193" s="8" t="s">
        <v>11</v>
      </c>
      <c r="B193">
        <v>200899</v>
      </c>
      <c r="C193" t="s">
        <v>133</v>
      </c>
      <c r="D193" t="s">
        <v>118</v>
      </c>
      <c r="E193" s="9">
        <v>3.5413199999999998</v>
      </c>
      <c r="F193" s="10">
        <v>128519</v>
      </c>
      <c r="G193" s="11">
        <v>36.29</v>
      </c>
    </row>
    <row r="194" spans="1:7">
      <c r="A194" s="8" t="s">
        <v>11</v>
      </c>
      <c r="B194">
        <v>200899</v>
      </c>
      <c r="C194" t="s">
        <v>133</v>
      </c>
      <c r="D194" t="s">
        <v>119</v>
      </c>
      <c r="E194" s="9">
        <v>53.946849999999998</v>
      </c>
      <c r="F194" s="10">
        <v>1635730</v>
      </c>
      <c r="G194" s="11">
        <v>30.32</v>
      </c>
    </row>
    <row r="195" spans="1:7">
      <c r="A195" s="8" t="s">
        <v>11</v>
      </c>
      <c r="B195">
        <v>200899</v>
      </c>
      <c r="C195" t="s">
        <v>133</v>
      </c>
      <c r="D195" t="s">
        <v>159</v>
      </c>
      <c r="E195" s="9">
        <v>0.1</v>
      </c>
      <c r="F195" s="10">
        <v>38</v>
      </c>
      <c r="G195" s="11">
        <v>0.38</v>
      </c>
    </row>
    <row r="196" spans="1:7">
      <c r="A196" s="8" t="s">
        <v>11</v>
      </c>
      <c r="B196">
        <v>200899</v>
      </c>
      <c r="C196" t="s">
        <v>133</v>
      </c>
      <c r="D196" t="s">
        <v>120</v>
      </c>
      <c r="E196" s="9">
        <v>137.03274999999999</v>
      </c>
      <c r="F196" s="10">
        <v>1335785</v>
      </c>
      <c r="G196" s="11">
        <v>9.75</v>
      </c>
    </row>
    <row r="197" spans="1:7">
      <c r="A197" s="8" t="s">
        <v>11</v>
      </c>
      <c r="B197">
        <v>200899</v>
      </c>
      <c r="C197" t="s">
        <v>133</v>
      </c>
      <c r="D197" t="s">
        <v>121</v>
      </c>
      <c r="E197" s="9">
        <v>46.514569999999999</v>
      </c>
      <c r="F197" s="10">
        <v>1505097</v>
      </c>
      <c r="G197" s="11">
        <v>32.36</v>
      </c>
    </row>
    <row r="198" spans="1:7">
      <c r="A198" s="8" t="s">
        <v>11</v>
      </c>
      <c r="B198">
        <v>200899</v>
      </c>
      <c r="C198" t="s">
        <v>133</v>
      </c>
      <c r="D198" t="s">
        <v>122</v>
      </c>
      <c r="E198" s="9">
        <v>242.45171999999999</v>
      </c>
      <c r="F198" s="10">
        <v>5596488</v>
      </c>
      <c r="G198" s="11">
        <v>23.08</v>
      </c>
    </row>
    <row r="199" spans="1:7">
      <c r="A199" s="8" t="s">
        <v>11</v>
      </c>
      <c r="B199">
        <v>200899</v>
      </c>
      <c r="C199" t="s">
        <v>133</v>
      </c>
      <c r="D199" t="s">
        <v>124</v>
      </c>
      <c r="E199" s="9">
        <v>46.678699999999999</v>
      </c>
      <c r="F199" s="10">
        <v>1047103</v>
      </c>
      <c r="G199" s="11">
        <v>22.43</v>
      </c>
    </row>
    <row r="200" spans="1:7">
      <c r="A200" s="8" t="s">
        <v>11</v>
      </c>
      <c r="B200">
        <v>200899</v>
      </c>
      <c r="C200" t="s">
        <v>133</v>
      </c>
      <c r="D200" t="s">
        <v>126</v>
      </c>
      <c r="E200" s="9">
        <v>30.6998</v>
      </c>
      <c r="F200" s="10">
        <v>466900</v>
      </c>
      <c r="G200" s="11">
        <v>15.21</v>
      </c>
    </row>
    <row r="201" spans="1:7">
      <c r="A201" s="8" t="s">
        <v>11</v>
      </c>
      <c r="B201">
        <v>200899</v>
      </c>
      <c r="C201" t="s">
        <v>133</v>
      </c>
      <c r="D201" t="s">
        <v>160</v>
      </c>
      <c r="E201" s="9">
        <v>0.56000000000000005</v>
      </c>
      <c r="F201" s="10">
        <v>550</v>
      </c>
      <c r="G201" s="11">
        <v>0.98</v>
      </c>
    </row>
    <row r="202" spans="1:7">
      <c r="A202" s="8" t="s">
        <v>11</v>
      </c>
      <c r="B202">
        <v>200899</v>
      </c>
      <c r="C202" t="s">
        <v>133</v>
      </c>
      <c r="D202" t="s">
        <v>127</v>
      </c>
      <c r="E202" s="9">
        <v>139.30942400000001</v>
      </c>
      <c r="F202" s="10">
        <v>3045323</v>
      </c>
      <c r="G202" s="11">
        <v>21.86</v>
      </c>
    </row>
    <row r="203" spans="1:7">
      <c r="A203" s="8" t="s">
        <v>11</v>
      </c>
      <c r="B203">
        <v>200899</v>
      </c>
      <c r="C203" t="s">
        <v>133</v>
      </c>
      <c r="D203" t="s">
        <v>161</v>
      </c>
      <c r="E203" s="9">
        <v>0.22108</v>
      </c>
      <c r="F203" s="10">
        <v>8784</v>
      </c>
      <c r="G203" s="11">
        <v>39.729999999999997</v>
      </c>
    </row>
    <row r="204" spans="1:7">
      <c r="A204" s="8" t="s">
        <v>11</v>
      </c>
      <c r="B204">
        <v>200899</v>
      </c>
      <c r="C204" t="s">
        <v>133</v>
      </c>
      <c r="D204" t="s">
        <v>128</v>
      </c>
      <c r="E204" s="9">
        <v>0.41360000000000002</v>
      </c>
      <c r="F204" s="10">
        <v>18297</v>
      </c>
      <c r="G204" s="11">
        <v>44.24</v>
      </c>
    </row>
    <row r="205" spans="1:7">
      <c r="A205" s="8" t="s">
        <v>11</v>
      </c>
      <c r="B205">
        <v>200899</v>
      </c>
      <c r="C205" t="s">
        <v>133</v>
      </c>
      <c r="D205" t="s">
        <v>129</v>
      </c>
      <c r="E205" s="9">
        <v>427.83589999999998</v>
      </c>
      <c r="F205" s="10">
        <v>9779373</v>
      </c>
      <c r="G205" s="11">
        <v>22.86</v>
      </c>
    </row>
    <row r="206" spans="1:7">
      <c r="A206" s="8" t="s">
        <v>11</v>
      </c>
      <c r="B206">
        <v>200899</v>
      </c>
      <c r="C206" t="s">
        <v>133</v>
      </c>
      <c r="D206" t="s">
        <v>130</v>
      </c>
      <c r="E206" s="9">
        <v>7492.5839999999998</v>
      </c>
      <c r="F206" s="10">
        <v>160966892</v>
      </c>
      <c r="G206" s="11">
        <v>21.48</v>
      </c>
    </row>
    <row r="207" spans="1:7">
      <c r="A207" s="8" t="s">
        <v>11</v>
      </c>
      <c r="B207">
        <v>200899</v>
      </c>
      <c r="C207" t="s">
        <v>133</v>
      </c>
      <c r="D207" t="s">
        <v>162</v>
      </c>
      <c r="E207" s="9">
        <v>0.53</v>
      </c>
      <c r="F207" s="10">
        <v>14932</v>
      </c>
      <c r="G207" s="11">
        <v>28.17</v>
      </c>
    </row>
    <row r="208" spans="1:7">
      <c r="A208" s="8" t="s">
        <v>11</v>
      </c>
      <c r="B208">
        <v>200899</v>
      </c>
      <c r="C208" t="s">
        <v>133</v>
      </c>
      <c r="D208" t="s">
        <v>131</v>
      </c>
      <c r="E208" s="9">
        <v>4.4640000000000004</v>
      </c>
      <c r="F208" s="10">
        <v>104989</v>
      </c>
      <c r="G208" s="11">
        <v>23.52</v>
      </c>
    </row>
    <row r="209" spans="1:7">
      <c r="A209" s="8" t="s">
        <v>11</v>
      </c>
      <c r="B209">
        <v>200899</v>
      </c>
      <c r="C209" t="s">
        <v>133</v>
      </c>
      <c r="D209" t="s">
        <v>132</v>
      </c>
      <c r="E209" s="9">
        <v>2.08046</v>
      </c>
      <c r="F209" s="10">
        <v>66520</v>
      </c>
      <c r="G209" s="11">
        <v>31.97</v>
      </c>
    </row>
    <row r="210" spans="1:7">
      <c r="A210" s="8" t="s">
        <v>11</v>
      </c>
      <c r="B210">
        <v>200899</v>
      </c>
      <c r="C210" t="s">
        <v>133</v>
      </c>
      <c r="D210" t="s">
        <v>163</v>
      </c>
      <c r="E210" s="9">
        <v>5.2600000000000001E-2</v>
      </c>
      <c r="F210" s="10">
        <v>389</v>
      </c>
      <c r="G210" s="11">
        <v>7.4</v>
      </c>
    </row>
    <row r="211" spans="1:7">
      <c r="A211" s="8" t="s">
        <v>13</v>
      </c>
      <c r="B211">
        <v>121221</v>
      </c>
      <c r="C211" t="s">
        <v>40</v>
      </c>
      <c r="D211" t="s">
        <v>41</v>
      </c>
      <c r="E211" s="9">
        <v>25300.842990000001</v>
      </c>
      <c r="F211" s="10">
        <v>273171257</v>
      </c>
      <c r="G211" s="11">
        <v>10.8</v>
      </c>
    </row>
    <row r="212" spans="1:7">
      <c r="A212" s="8" t="s">
        <v>13</v>
      </c>
      <c r="B212">
        <v>121221</v>
      </c>
      <c r="C212" t="s">
        <v>40</v>
      </c>
      <c r="D212" t="s">
        <v>164</v>
      </c>
      <c r="E212" s="9">
        <v>4.0940000000000003</v>
      </c>
      <c r="F212" s="10">
        <v>95839</v>
      </c>
      <c r="G212" s="11">
        <v>23.41</v>
      </c>
    </row>
    <row r="213" spans="1:7">
      <c r="A213" s="8" t="s">
        <v>13</v>
      </c>
      <c r="B213">
        <v>121221</v>
      </c>
      <c r="C213" t="s">
        <v>40</v>
      </c>
      <c r="D213" t="s">
        <v>43</v>
      </c>
      <c r="E213" s="9">
        <v>0.36</v>
      </c>
      <c r="F213" s="10">
        <v>5550</v>
      </c>
      <c r="G213" s="11">
        <v>15.42</v>
      </c>
    </row>
    <row r="214" spans="1:7">
      <c r="A214" s="8" t="s">
        <v>13</v>
      </c>
      <c r="B214">
        <v>121221</v>
      </c>
      <c r="C214" t="s">
        <v>40</v>
      </c>
      <c r="D214" t="s">
        <v>44</v>
      </c>
      <c r="E214" s="9">
        <v>142.56737000000001</v>
      </c>
      <c r="F214" s="10">
        <v>1055694</v>
      </c>
      <c r="G214" s="11">
        <v>7.4</v>
      </c>
    </row>
    <row r="215" spans="1:7">
      <c r="A215" s="8" t="s">
        <v>13</v>
      </c>
      <c r="B215">
        <v>121221</v>
      </c>
      <c r="C215" t="s">
        <v>40</v>
      </c>
      <c r="D215" t="s">
        <v>45</v>
      </c>
      <c r="E215" s="9">
        <v>6.2389999999999999</v>
      </c>
      <c r="F215" s="10">
        <v>42312</v>
      </c>
      <c r="G215" s="11">
        <v>6.78</v>
      </c>
    </row>
    <row r="216" spans="1:7">
      <c r="A216" s="8" t="s">
        <v>13</v>
      </c>
      <c r="B216">
        <v>121221</v>
      </c>
      <c r="C216" t="s">
        <v>40</v>
      </c>
      <c r="D216" t="s">
        <v>46</v>
      </c>
      <c r="E216" s="9">
        <v>0.65649999999999997</v>
      </c>
      <c r="F216" s="10">
        <v>26729</v>
      </c>
      <c r="G216" s="11">
        <v>40.71</v>
      </c>
    </row>
    <row r="217" spans="1:7">
      <c r="A217" s="8" t="s">
        <v>13</v>
      </c>
      <c r="B217">
        <v>121221</v>
      </c>
      <c r="C217" t="s">
        <v>40</v>
      </c>
      <c r="D217" t="s">
        <v>47</v>
      </c>
      <c r="E217" s="9">
        <v>0.17297000000000001</v>
      </c>
      <c r="F217" s="10">
        <v>3322</v>
      </c>
      <c r="G217" s="11">
        <v>19.21</v>
      </c>
    </row>
    <row r="218" spans="1:7">
      <c r="A218" s="8" t="s">
        <v>13</v>
      </c>
      <c r="B218">
        <v>121221</v>
      </c>
      <c r="C218" t="s">
        <v>40</v>
      </c>
      <c r="D218" t="s">
        <v>48</v>
      </c>
      <c r="E218" s="9">
        <v>2.7179999999999999E-2</v>
      </c>
      <c r="F218" s="10">
        <v>2772</v>
      </c>
      <c r="G218" s="11">
        <v>101.99</v>
      </c>
    </row>
    <row r="219" spans="1:7">
      <c r="A219" s="8" t="s">
        <v>13</v>
      </c>
      <c r="B219">
        <v>121221</v>
      </c>
      <c r="C219" t="s">
        <v>40</v>
      </c>
      <c r="D219" t="s">
        <v>135</v>
      </c>
      <c r="E219" s="9">
        <v>5.8880000000000002E-2</v>
      </c>
      <c r="F219" s="10">
        <v>645</v>
      </c>
      <c r="G219" s="11">
        <v>10.95</v>
      </c>
    </row>
    <row r="220" spans="1:7">
      <c r="A220" s="8" t="s">
        <v>13</v>
      </c>
      <c r="B220">
        <v>121221</v>
      </c>
      <c r="C220" t="s">
        <v>40</v>
      </c>
      <c r="D220" t="s">
        <v>49</v>
      </c>
      <c r="E220" s="9">
        <v>1.2227699999999999</v>
      </c>
      <c r="F220" s="10">
        <v>30498</v>
      </c>
      <c r="G220" s="11">
        <v>24.94</v>
      </c>
    </row>
    <row r="221" spans="1:7">
      <c r="A221" s="8" t="s">
        <v>13</v>
      </c>
      <c r="B221">
        <v>121221</v>
      </c>
      <c r="C221" t="s">
        <v>40</v>
      </c>
      <c r="D221" t="s">
        <v>50</v>
      </c>
      <c r="E221" s="9">
        <v>25.594480000000001</v>
      </c>
      <c r="F221" s="10">
        <v>515315</v>
      </c>
      <c r="G221" s="11">
        <v>20.13</v>
      </c>
    </row>
    <row r="222" spans="1:7">
      <c r="A222" s="8" t="s">
        <v>13</v>
      </c>
      <c r="B222">
        <v>121221</v>
      </c>
      <c r="C222" t="s">
        <v>40</v>
      </c>
      <c r="D222" t="s">
        <v>165</v>
      </c>
      <c r="E222" s="9">
        <v>1.6500000000000001E-2</v>
      </c>
      <c r="F222" s="10">
        <v>49</v>
      </c>
      <c r="G222" s="11">
        <v>2.97</v>
      </c>
    </row>
    <row r="223" spans="1:7">
      <c r="A223" s="8" t="s">
        <v>13</v>
      </c>
      <c r="B223">
        <v>121221</v>
      </c>
      <c r="C223" t="s">
        <v>40</v>
      </c>
      <c r="D223" t="s">
        <v>51</v>
      </c>
      <c r="E223" s="9">
        <v>0.38734000000000002</v>
      </c>
      <c r="F223" s="10">
        <v>5320</v>
      </c>
      <c r="G223" s="11">
        <v>13.73</v>
      </c>
    </row>
    <row r="224" spans="1:7">
      <c r="A224" s="8" t="s">
        <v>13</v>
      </c>
      <c r="B224">
        <v>121221</v>
      </c>
      <c r="C224" t="s">
        <v>40</v>
      </c>
      <c r="D224" t="s">
        <v>136</v>
      </c>
      <c r="E224" s="9">
        <v>0.15049999999999999</v>
      </c>
      <c r="F224" s="10">
        <v>1712</v>
      </c>
      <c r="G224" s="11">
        <v>11.38</v>
      </c>
    </row>
    <row r="225" spans="1:7">
      <c r="A225" s="8" t="s">
        <v>13</v>
      </c>
      <c r="B225">
        <v>121221</v>
      </c>
      <c r="C225" t="s">
        <v>40</v>
      </c>
      <c r="D225" t="s">
        <v>52</v>
      </c>
      <c r="E225" s="9">
        <v>5.2587999999999999</v>
      </c>
      <c r="F225" s="10">
        <v>77629</v>
      </c>
      <c r="G225" s="11">
        <v>14.76</v>
      </c>
    </row>
    <row r="226" spans="1:7">
      <c r="A226" s="8" t="s">
        <v>13</v>
      </c>
      <c r="B226">
        <v>121221</v>
      </c>
      <c r="C226" t="s">
        <v>40</v>
      </c>
      <c r="D226" t="s">
        <v>53</v>
      </c>
      <c r="E226" s="9">
        <v>4.5508199999999999</v>
      </c>
      <c r="F226" s="10">
        <v>32406</v>
      </c>
      <c r="G226" s="11">
        <v>7.12</v>
      </c>
    </row>
    <row r="227" spans="1:7">
      <c r="A227" s="8" t="s">
        <v>13</v>
      </c>
      <c r="B227">
        <v>121221</v>
      </c>
      <c r="C227" t="s">
        <v>40</v>
      </c>
      <c r="D227" t="s">
        <v>54</v>
      </c>
      <c r="E227" s="9">
        <v>116.38786</v>
      </c>
      <c r="F227" s="10">
        <v>955789</v>
      </c>
      <c r="G227" s="11">
        <v>8.2100000000000009</v>
      </c>
    </row>
    <row r="228" spans="1:7">
      <c r="A228" s="8" t="s">
        <v>13</v>
      </c>
      <c r="B228">
        <v>121221</v>
      </c>
      <c r="C228" t="s">
        <v>40</v>
      </c>
      <c r="D228" t="s">
        <v>55</v>
      </c>
      <c r="E228" s="9">
        <v>2.0966100000000001</v>
      </c>
      <c r="F228" s="10">
        <v>21210</v>
      </c>
      <c r="G228" s="11">
        <v>10.119999999999999</v>
      </c>
    </row>
    <row r="229" spans="1:7">
      <c r="A229" s="8" t="s">
        <v>13</v>
      </c>
      <c r="B229">
        <v>121221</v>
      </c>
      <c r="C229" t="s">
        <v>40</v>
      </c>
      <c r="D229" t="s">
        <v>56</v>
      </c>
      <c r="E229" s="9">
        <v>6840.5590000000002</v>
      </c>
      <c r="F229" s="10">
        <v>52311679</v>
      </c>
      <c r="G229" s="11">
        <v>7.65</v>
      </c>
    </row>
    <row r="230" spans="1:7">
      <c r="A230" s="8" t="s">
        <v>13</v>
      </c>
      <c r="B230">
        <v>121221</v>
      </c>
      <c r="C230" t="s">
        <v>40</v>
      </c>
      <c r="D230" t="s">
        <v>57</v>
      </c>
      <c r="E230" s="9">
        <v>10.6846</v>
      </c>
      <c r="F230" s="10">
        <v>279743</v>
      </c>
      <c r="G230" s="11">
        <v>26.18</v>
      </c>
    </row>
    <row r="231" spans="1:7">
      <c r="A231" s="8" t="s">
        <v>13</v>
      </c>
      <c r="B231">
        <v>121221</v>
      </c>
      <c r="C231" t="s">
        <v>40</v>
      </c>
      <c r="D231" t="s">
        <v>139</v>
      </c>
      <c r="E231" s="9">
        <v>5.126E-2</v>
      </c>
      <c r="F231" s="10">
        <v>623</v>
      </c>
      <c r="G231" s="11">
        <v>12.15</v>
      </c>
    </row>
    <row r="232" spans="1:7">
      <c r="A232" s="8" t="s">
        <v>13</v>
      </c>
      <c r="B232">
        <v>121221</v>
      </c>
      <c r="C232" t="s">
        <v>40</v>
      </c>
      <c r="D232" t="s">
        <v>58</v>
      </c>
      <c r="E232" s="9">
        <v>0.42</v>
      </c>
      <c r="F232" s="10">
        <v>4460</v>
      </c>
      <c r="G232" s="11">
        <v>10.62</v>
      </c>
    </row>
    <row r="233" spans="1:7">
      <c r="A233" s="8" t="s">
        <v>13</v>
      </c>
      <c r="B233">
        <v>121221</v>
      </c>
      <c r="C233" t="s">
        <v>40</v>
      </c>
      <c r="D233" t="s">
        <v>59</v>
      </c>
      <c r="E233" s="9">
        <v>1.7450000000000001</v>
      </c>
      <c r="F233" s="10">
        <v>23121</v>
      </c>
      <c r="G233" s="11">
        <v>13.25</v>
      </c>
    </row>
    <row r="234" spans="1:7">
      <c r="A234" s="8" t="s">
        <v>13</v>
      </c>
      <c r="B234">
        <v>121221</v>
      </c>
      <c r="C234" t="s">
        <v>40</v>
      </c>
      <c r="D234" t="s">
        <v>61</v>
      </c>
      <c r="E234" s="9">
        <v>1.6E-2</v>
      </c>
      <c r="F234" s="10">
        <v>318</v>
      </c>
      <c r="G234" s="11">
        <v>19.88</v>
      </c>
    </row>
    <row r="235" spans="1:7">
      <c r="A235" s="8" t="s">
        <v>13</v>
      </c>
      <c r="B235">
        <v>121221</v>
      </c>
      <c r="C235" t="s">
        <v>40</v>
      </c>
      <c r="D235" t="s">
        <v>63</v>
      </c>
      <c r="E235" s="9">
        <v>23.483460000000001</v>
      </c>
      <c r="F235" s="10">
        <v>405458</v>
      </c>
      <c r="G235" s="11">
        <v>17.27</v>
      </c>
    </row>
    <row r="236" spans="1:7">
      <c r="A236" s="8" t="s">
        <v>13</v>
      </c>
      <c r="B236">
        <v>121221</v>
      </c>
      <c r="C236" t="s">
        <v>40</v>
      </c>
      <c r="D236" t="s">
        <v>64</v>
      </c>
      <c r="E236" s="9">
        <v>15.164569999999999</v>
      </c>
      <c r="F236" s="10">
        <v>148688</v>
      </c>
      <c r="G236" s="11">
        <v>9.8000000000000007</v>
      </c>
    </row>
    <row r="237" spans="1:7">
      <c r="A237" s="8" t="s">
        <v>13</v>
      </c>
      <c r="B237">
        <v>121221</v>
      </c>
      <c r="C237" t="s">
        <v>40</v>
      </c>
      <c r="D237" t="s">
        <v>144</v>
      </c>
      <c r="E237" s="9">
        <v>5.4000000000000003E-3</v>
      </c>
      <c r="F237" s="10">
        <v>315</v>
      </c>
      <c r="G237" s="11">
        <v>58.33</v>
      </c>
    </row>
    <row r="238" spans="1:7">
      <c r="A238" s="8" t="s">
        <v>13</v>
      </c>
      <c r="B238">
        <v>121221</v>
      </c>
      <c r="C238" t="s">
        <v>40</v>
      </c>
      <c r="D238" t="s">
        <v>65</v>
      </c>
      <c r="E238" s="9">
        <v>1.11E-2</v>
      </c>
      <c r="F238" s="10">
        <v>188</v>
      </c>
      <c r="G238" s="11">
        <v>16.940000000000001</v>
      </c>
    </row>
    <row r="239" spans="1:7">
      <c r="A239" s="8" t="s">
        <v>13</v>
      </c>
      <c r="B239">
        <v>121221</v>
      </c>
      <c r="C239" t="s">
        <v>40</v>
      </c>
      <c r="D239" t="s">
        <v>66</v>
      </c>
      <c r="E239" s="9">
        <v>5.7523799999999996</v>
      </c>
      <c r="F239" s="10">
        <v>52429</v>
      </c>
      <c r="G239" s="11">
        <v>9.11</v>
      </c>
    </row>
    <row r="240" spans="1:7">
      <c r="A240" s="8" t="s">
        <v>13</v>
      </c>
      <c r="B240">
        <v>121221</v>
      </c>
      <c r="C240" t="s">
        <v>40</v>
      </c>
      <c r="D240" t="s">
        <v>67</v>
      </c>
      <c r="E240" s="9">
        <v>2.7239300000000002</v>
      </c>
      <c r="F240" s="10">
        <v>8232</v>
      </c>
      <c r="G240" s="11">
        <v>3.02</v>
      </c>
    </row>
    <row r="241" spans="1:7">
      <c r="A241" s="8" t="s">
        <v>13</v>
      </c>
      <c r="B241">
        <v>121221</v>
      </c>
      <c r="C241" t="s">
        <v>40</v>
      </c>
      <c r="D241" t="s">
        <v>69</v>
      </c>
      <c r="E241" s="9">
        <v>2.86E-2</v>
      </c>
      <c r="F241" s="10">
        <v>179</v>
      </c>
      <c r="G241" s="11">
        <v>6.26</v>
      </c>
    </row>
    <row r="242" spans="1:7">
      <c r="A242" s="8" t="s">
        <v>13</v>
      </c>
      <c r="B242">
        <v>121221</v>
      </c>
      <c r="C242" t="s">
        <v>40</v>
      </c>
      <c r="D242" t="s">
        <v>70</v>
      </c>
      <c r="E242" s="9">
        <v>52.954599999999999</v>
      </c>
      <c r="F242" s="10">
        <v>584718</v>
      </c>
      <c r="G242" s="11">
        <v>11.04</v>
      </c>
    </row>
    <row r="243" spans="1:7">
      <c r="A243" s="8" t="s">
        <v>13</v>
      </c>
      <c r="B243">
        <v>121221</v>
      </c>
      <c r="C243" t="s">
        <v>40</v>
      </c>
      <c r="D243" t="s">
        <v>71</v>
      </c>
      <c r="E243" s="9">
        <v>1.0733299999999999</v>
      </c>
      <c r="F243" s="10">
        <v>9279</v>
      </c>
      <c r="G243" s="11">
        <v>8.65</v>
      </c>
    </row>
    <row r="244" spans="1:7">
      <c r="A244" s="8" t="s">
        <v>13</v>
      </c>
      <c r="B244">
        <v>121221</v>
      </c>
      <c r="C244" t="s">
        <v>40</v>
      </c>
      <c r="D244" t="s">
        <v>72</v>
      </c>
      <c r="E244" s="9">
        <v>770.61329999999998</v>
      </c>
      <c r="F244" s="10">
        <v>11729235</v>
      </c>
      <c r="G244" s="11">
        <v>15.22</v>
      </c>
    </row>
    <row r="245" spans="1:7">
      <c r="A245" s="8" t="s">
        <v>13</v>
      </c>
      <c r="B245">
        <v>121221</v>
      </c>
      <c r="C245" t="s">
        <v>40</v>
      </c>
      <c r="D245" t="s">
        <v>73</v>
      </c>
      <c r="E245" s="9">
        <v>2.13781</v>
      </c>
      <c r="F245" s="10">
        <v>19048</v>
      </c>
      <c r="G245" s="11">
        <v>8.91</v>
      </c>
    </row>
    <row r="246" spans="1:7">
      <c r="A246" s="8" t="s">
        <v>13</v>
      </c>
      <c r="B246">
        <v>121221</v>
      </c>
      <c r="C246" t="s">
        <v>40</v>
      </c>
      <c r="D246" t="s">
        <v>75</v>
      </c>
      <c r="E246" s="9">
        <v>1.4175</v>
      </c>
      <c r="F246" s="10">
        <v>55650</v>
      </c>
      <c r="G246" s="11">
        <v>39.26</v>
      </c>
    </row>
    <row r="247" spans="1:7">
      <c r="A247" s="8" t="s">
        <v>13</v>
      </c>
      <c r="B247">
        <v>121221</v>
      </c>
      <c r="C247" t="s">
        <v>40</v>
      </c>
      <c r="D247" t="s">
        <v>77</v>
      </c>
      <c r="E247" s="9">
        <v>1.4999999999999999E-2</v>
      </c>
      <c r="F247" s="10">
        <v>278</v>
      </c>
      <c r="G247" s="11">
        <v>18.53</v>
      </c>
    </row>
    <row r="248" spans="1:7">
      <c r="A248" s="8" t="s">
        <v>13</v>
      </c>
      <c r="B248">
        <v>121221</v>
      </c>
      <c r="C248" t="s">
        <v>40</v>
      </c>
      <c r="D248" t="s">
        <v>78</v>
      </c>
      <c r="E248" s="9">
        <v>8181.451</v>
      </c>
      <c r="F248" s="10">
        <v>75060170</v>
      </c>
      <c r="G248" s="11">
        <v>9.17</v>
      </c>
    </row>
    <row r="249" spans="1:7">
      <c r="A249" s="8" t="s">
        <v>13</v>
      </c>
      <c r="B249">
        <v>121221</v>
      </c>
      <c r="C249" t="s">
        <v>40</v>
      </c>
      <c r="D249" t="s">
        <v>79</v>
      </c>
      <c r="E249" s="9">
        <v>52.971939999999996</v>
      </c>
      <c r="F249" s="10">
        <v>804662</v>
      </c>
      <c r="G249" s="11">
        <v>15.19</v>
      </c>
    </row>
    <row r="250" spans="1:7">
      <c r="A250" s="8" t="s">
        <v>13</v>
      </c>
      <c r="B250">
        <v>121221</v>
      </c>
      <c r="C250" t="s">
        <v>40</v>
      </c>
      <c r="D250" t="s">
        <v>80</v>
      </c>
      <c r="E250" s="9">
        <v>0.44800000000000001</v>
      </c>
      <c r="F250" s="10">
        <v>687</v>
      </c>
      <c r="G250" s="11">
        <v>1.53</v>
      </c>
    </row>
    <row r="251" spans="1:7">
      <c r="A251" s="8" t="s">
        <v>13</v>
      </c>
      <c r="B251">
        <v>121221</v>
      </c>
      <c r="C251" t="s">
        <v>40</v>
      </c>
      <c r="D251" t="s">
        <v>81</v>
      </c>
      <c r="E251" s="9">
        <v>0.41397</v>
      </c>
      <c r="F251" s="10">
        <v>6009</v>
      </c>
      <c r="G251" s="11">
        <v>14.52</v>
      </c>
    </row>
    <row r="252" spans="1:7">
      <c r="A252" s="8" t="s">
        <v>13</v>
      </c>
      <c r="B252">
        <v>121221</v>
      </c>
      <c r="C252" t="s">
        <v>40</v>
      </c>
      <c r="D252" t="s">
        <v>82</v>
      </c>
      <c r="E252" s="9">
        <v>0.348659</v>
      </c>
      <c r="F252" s="10">
        <v>5768</v>
      </c>
      <c r="G252" s="11">
        <v>16.54</v>
      </c>
    </row>
    <row r="253" spans="1:7">
      <c r="A253" s="8" t="s">
        <v>13</v>
      </c>
      <c r="B253">
        <v>121221</v>
      </c>
      <c r="C253" t="s">
        <v>40</v>
      </c>
      <c r="D253" t="s">
        <v>83</v>
      </c>
      <c r="E253" s="9">
        <v>0.71069000000000004</v>
      </c>
      <c r="F253" s="10">
        <v>10659</v>
      </c>
      <c r="G253" s="11">
        <v>15</v>
      </c>
    </row>
    <row r="254" spans="1:7">
      <c r="A254" s="8" t="s">
        <v>13</v>
      </c>
      <c r="B254">
        <v>121221</v>
      </c>
      <c r="C254" t="s">
        <v>40</v>
      </c>
      <c r="D254" t="s">
        <v>84</v>
      </c>
      <c r="E254" s="9">
        <v>0.21360000000000001</v>
      </c>
      <c r="F254" s="10">
        <v>8446</v>
      </c>
      <c r="G254" s="11">
        <v>39.54</v>
      </c>
    </row>
    <row r="255" spans="1:7">
      <c r="A255" s="8" t="s">
        <v>13</v>
      </c>
      <c r="B255">
        <v>121221</v>
      </c>
      <c r="C255" t="s">
        <v>40</v>
      </c>
      <c r="D255" t="s">
        <v>146</v>
      </c>
      <c r="E255" s="9">
        <v>14.9299</v>
      </c>
      <c r="F255" s="10">
        <v>294971</v>
      </c>
      <c r="G255" s="11">
        <v>19.760000000000002</v>
      </c>
    </row>
    <row r="256" spans="1:7">
      <c r="A256" s="8" t="s">
        <v>13</v>
      </c>
      <c r="B256">
        <v>121221</v>
      </c>
      <c r="C256" t="s">
        <v>40</v>
      </c>
      <c r="D256" t="s">
        <v>85</v>
      </c>
      <c r="E256" s="9">
        <v>2.2499999999999998E-3</v>
      </c>
      <c r="F256" s="10">
        <v>60</v>
      </c>
      <c r="G256" s="11">
        <v>26.67</v>
      </c>
    </row>
    <row r="257" spans="1:7">
      <c r="A257" s="8" t="s">
        <v>13</v>
      </c>
      <c r="B257">
        <v>121221</v>
      </c>
      <c r="C257" t="s">
        <v>40</v>
      </c>
      <c r="D257" t="s">
        <v>86</v>
      </c>
      <c r="E257" s="9">
        <v>95.098500000000001</v>
      </c>
      <c r="F257" s="10">
        <v>1707167</v>
      </c>
      <c r="G257" s="11">
        <v>17.95</v>
      </c>
    </row>
    <row r="258" spans="1:7">
      <c r="A258" s="8" t="s">
        <v>13</v>
      </c>
      <c r="B258">
        <v>121221</v>
      </c>
      <c r="C258" t="s">
        <v>40</v>
      </c>
      <c r="D258" t="s">
        <v>88</v>
      </c>
      <c r="E258" s="9">
        <v>17.261410000000001</v>
      </c>
      <c r="F258" s="10">
        <v>257725</v>
      </c>
      <c r="G258" s="11">
        <v>14.93</v>
      </c>
    </row>
    <row r="259" spans="1:7">
      <c r="A259" s="8" t="s">
        <v>13</v>
      </c>
      <c r="B259">
        <v>121221</v>
      </c>
      <c r="C259" t="s">
        <v>40</v>
      </c>
      <c r="D259" t="s">
        <v>90</v>
      </c>
      <c r="E259" s="9">
        <v>213.45964000000001</v>
      </c>
      <c r="F259" s="10">
        <v>4128864</v>
      </c>
      <c r="G259" s="11">
        <v>19.34</v>
      </c>
    </row>
    <row r="260" spans="1:7">
      <c r="A260" s="8" t="s">
        <v>13</v>
      </c>
      <c r="B260">
        <v>121221</v>
      </c>
      <c r="C260" t="s">
        <v>40</v>
      </c>
      <c r="D260" t="s">
        <v>91</v>
      </c>
      <c r="E260" s="9">
        <v>929.77020000000005</v>
      </c>
      <c r="F260" s="10">
        <v>17124830</v>
      </c>
      <c r="G260" s="11">
        <v>18.420000000000002</v>
      </c>
    </row>
    <row r="261" spans="1:7">
      <c r="A261" s="8" t="s">
        <v>13</v>
      </c>
      <c r="B261">
        <v>121221</v>
      </c>
      <c r="C261" t="s">
        <v>40</v>
      </c>
      <c r="D261" t="s">
        <v>92</v>
      </c>
      <c r="E261" s="9">
        <v>177.36680999999999</v>
      </c>
      <c r="F261" s="10">
        <v>1589069</v>
      </c>
      <c r="G261" s="11">
        <v>8.9600000000000009</v>
      </c>
    </row>
    <row r="262" spans="1:7">
      <c r="A262" s="8" t="s">
        <v>13</v>
      </c>
      <c r="B262">
        <v>121221</v>
      </c>
      <c r="C262" t="s">
        <v>40</v>
      </c>
      <c r="D262" t="s">
        <v>93</v>
      </c>
      <c r="E262" s="9">
        <v>4.508</v>
      </c>
      <c r="F262" s="10">
        <v>88200</v>
      </c>
      <c r="G262" s="11">
        <v>19.57</v>
      </c>
    </row>
    <row r="263" spans="1:7">
      <c r="A263" s="8" t="s">
        <v>13</v>
      </c>
      <c r="B263">
        <v>121221</v>
      </c>
      <c r="C263" t="s">
        <v>40</v>
      </c>
      <c r="D263" t="s">
        <v>151</v>
      </c>
      <c r="E263" s="9">
        <v>6.9999999999999999E-4</v>
      </c>
      <c r="F263" s="10">
        <v>3</v>
      </c>
      <c r="G263" s="11">
        <v>4.29</v>
      </c>
    </row>
    <row r="264" spans="1:7">
      <c r="A264" s="8" t="s">
        <v>13</v>
      </c>
      <c r="B264">
        <v>121221</v>
      </c>
      <c r="C264" t="s">
        <v>40</v>
      </c>
      <c r="D264" t="s">
        <v>152</v>
      </c>
      <c r="E264" s="9">
        <v>4.9360000000000001E-2</v>
      </c>
      <c r="F264" s="10">
        <v>640</v>
      </c>
      <c r="G264" s="11">
        <v>12.97</v>
      </c>
    </row>
    <row r="265" spans="1:7">
      <c r="A265" s="8" t="s">
        <v>13</v>
      </c>
      <c r="B265">
        <v>121221</v>
      </c>
      <c r="C265" t="s">
        <v>40</v>
      </c>
      <c r="D265" t="s">
        <v>95</v>
      </c>
      <c r="E265" s="9">
        <v>42.811770000000003</v>
      </c>
      <c r="F265" s="10">
        <v>530629</v>
      </c>
      <c r="G265" s="11">
        <v>12.39</v>
      </c>
    </row>
    <row r="266" spans="1:7">
      <c r="A266" s="8" t="s">
        <v>13</v>
      </c>
      <c r="B266">
        <v>121221</v>
      </c>
      <c r="C266" t="s">
        <v>40</v>
      </c>
      <c r="D266" t="s">
        <v>97</v>
      </c>
      <c r="E266" s="9">
        <v>34.602319999999999</v>
      </c>
      <c r="F266" s="10">
        <v>223159</v>
      </c>
      <c r="G266" s="11">
        <v>6.45</v>
      </c>
    </row>
    <row r="267" spans="1:7">
      <c r="A267" s="8" t="s">
        <v>13</v>
      </c>
      <c r="B267">
        <v>121221</v>
      </c>
      <c r="C267" t="s">
        <v>40</v>
      </c>
      <c r="D267" t="s">
        <v>154</v>
      </c>
      <c r="E267" s="9">
        <v>3.0000000000000001E-3</v>
      </c>
      <c r="F267" s="10">
        <v>50</v>
      </c>
      <c r="G267" s="11">
        <v>16.670000000000002</v>
      </c>
    </row>
    <row r="268" spans="1:7">
      <c r="A268" s="8" t="s">
        <v>13</v>
      </c>
      <c r="B268">
        <v>121221</v>
      </c>
      <c r="C268" t="s">
        <v>40</v>
      </c>
      <c r="D268" t="s">
        <v>98</v>
      </c>
      <c r="E268" s="9">
        <v>0.9</v>
      </c>
      <c r="F268" s="10">
        <v>7697</v>
      </c>
      <c r="G268" s="11">
        <v>8.5500000000000007</v>
      </c>
    </row>
    <row r="269" spans="1:7">
      <c r="A269" s="8" t="s">
        <v>13</v>
      </c>
      <c r="B269">
        <v>121221</v>
      </c>
      <c r="C269" t="s">
        <v>40</v>
      </c>
      <c r="D269" t="s">
        <v>99</v>
      </c>
      <c r="E269" s="9">
        <v>1.1559999999999999</v>
      </c>
      <c r="F269" s="10">
        <v>280621</v>
      </c>
      <c r="G269" s="11">
        <v>242.75</v>
      </c>
    </row>
    <row r="270" spans="1:7">
      <c r="A270" s="8" t="s">
        <v>13</v>
      </c>
      <c r="B270">
        <v>121221</v>
      </c>
      <c r="C270" t="s">
        <v>40</v>
      </c>
      <c r="D270" t="s">
        <v>100</v>
      </c>
      <c r="E270" s="9">
        <v>1.8794</v>
      </c>
      <c r="F270" s="10">
        <v>13822</v>
      </c>
      <c r="G270" s="11">
        <v>7.35</v>
      </c>
    </row>
    <row r="271" spans="1:7">
      <c r="A271" s="8" t="s">
        <v>13</v>
      </c>
      <c r="B271">
        <v>121221</v>
      </c>
      <c r="C271" t="s">
        <v>40</v>
      </c>
      <c r="D271" t="s">
        <v>101</v>
      </c>
      <c r="E271" s="9">
        <v>2.4E-2</v>
      </c>
      <c r="F271" s="10">
        <v>578</v>
      </c>
      <c r="G271" s="11">
        <v>24.08</v>
      </c>
    </row>
    <row r="272" spans="1:7">
      <c r="A272" s="8" t="s">
        <v>13</v>
      </c>
      <c r="B272">
        <v>121221</v>
      </c>
      <c r="C272" t="s">
        <v>40</v>
      </c>
      <c r="D272" t="s">
        <v>102</v>
      </c>
      <c r="E272" s="9">
        <v>0.18656</v>
      </c>
      <c r="F272" s="10">
        <v>3395</v>
      </c>
      <c r="G272" s="11">
        <v>18.2</v>
      </c>
    </row>
    <row r="273" spans="1:7">
      <c r="A273" s="8" t="s">
        <v>13</v>
      </c>
      <c r="B273">
        <v>121221</v>
      </c>
      <c r="C273" t="s">
        <v>40</v>
      </c>
      <c r="D273" t="s">
        <v>103</v>
      </c>
      <c r="E273" s="9">
        <v>0.19592000000000001</v>
      </c>
      <c r="F273" s="10">
        <v>5298</v>
      </c>
      <c r="G273" s="11">
        <v>27.04</v>
      </c>
    </row>
    <row r="274" spans="1:7">
      <c r="A274" s="8" t="s">
        <v>13</v>
      </c>
      <c r="B274">
        <v>121221</v>
      </c>
      <c r="C274" t="s">
        <v>40</v>
      </c>
      <c r="D274" t="s">
        <v>104</v>
      </c>
      <c r="E274" s="9">
        <v>0.83350000000000002</v>
      </c>
      <c r="F274" s="10">
        <v>4162</v>
      </c>
      <c r="G274" s="11">
        <v>4.99</v>
      </c>
    </row>
    <row r="275" spans="1:7">
      <c r="A275" s="8" t="s">
        <v>13</v>
      </c>
      <c r="B275">
        <v>121221</v>
      </c>
      <c r="C275" t="s">
        <v>40</v>
      </c>
      <c r="D275" t="s">
        <v>105</v>
      </c>
      <c r="E275" s="9">
        <v>2.7E-2</v>
      </c>
      <c r="F275" s="10">
        <v>716</v>
      </c>
      <c r="G275" s="11">
        <v>26.52</v>
      </c>
    </row>
    <row r="276" spans="1:7">
      <c r="A276" s="8" t="s">
        <v>13</v>
      </c>
      <c r="B276">
        <v>121221</v>
      </c>
      <c r="C276" t="s">
        <v>40</v>
      </c>
      <c r="D276" t="s">
        <v>106</v>
      </c>
      <c r="E276" s="9">
        <v>131.79639</v>
      </c>
      <c r="F276" s="10">
        <v>1098915</v>
      </c>
      <c r="G276" s="11">
        <v>8.34</v>
      </c>
    </row>
    <row r="277" spans="1:7">
      <c r="A277" s="8" t="s">
        <v>13</v>
      </c>
      <c r="B277">
        <v>121221</v>
      </c>
      <c r="C277" t="s">
        <v>40</v>
      </c>
      <c r="D277" t="s">
        <v>107</v>
      </c>
      <c r="E277" s="9">
        <v>35.626460000000002</v>
      </c>
      <c r="F277" s="10">
        <v>701214</v>
      </c>
      <c r="G277" s="11">
        <v>19.68</v>
      </c>
    </row>
    <row r="278" spans="1:7">
      <c r="A278" s="8" t="s">
        <v>13</v>
      </c>
      <c r="B278">
        <v>121221</v>
      </c>
      <c r="C278" t="s">
        <v>40</v>
      </c>
      <c r="D278" t="s">
        <v>108</v>
      </c>
      <c r="E278" s="9">
        <v>3.4215</v>
      </c>
      <c r="F278" s="10">
        <v>13883</v>
      </c>
      <c r="G278" s="11">
        <v>4.0599999999999996</v>
      </c>
    </row>
    <row r="279" spans="1:7">
      <c r="A279" s="8" t="s">
        <v>13</v>
      </c>
      <c r="B279">
        <v>121221</v>
      </c>
      <c r="C279" t="s">
        <v>40</v>
      </c>
      <c r="D279" t="s">
        <v>158</v>
      </c>
      <c r="E279" s="9">
        <v>0.32200000000000001</v>
      </c>
      <c r="F279" s="10">
        <v>5461</v>
      </c>
      <c r="G279" s="11">
        <v>16.96</v>
      </c>
    </row>
    <row r="280" spans="1:7">
      <c r="A280" s="8" t="s">
        <v>13</v>
      </c>
      <c r="B280">
        <v>121221</v>
      </c>
      <c r="C280" t="s">
        <v>40</v>
      </c>
      <c r="D280" t="s">
        <v>109</v>
      </c>
      <c r="E280" s="9">
        <v>1529.7148</v>
      </c>
      <c r="F280" s="10">
        <v>30673577</v>
      </c>
      <c r="G280" s="11">
        <v>20.05</v>
      </c>
    </row>
    <row r="281" spans="1:7">
      <c r="A281" s="8" t="s">
        <v>13</v>
      </c>
      <c r="B281">
        <v>121221</v>
      </c>
      <c r="C281" t="s">
        <v>40</v>
      </c>
      <c r="D281" t="s">
        <v>110</v>
      </c>
      <c r="E281" s="9">
        <v>0.67666000000000004</v>
      </c>
      <c r="F281" s="10">
        <v>7016</v>
      </c>
      <c r="G281" s="11">
        <v>10.37</v>
      </c>
    </row>
    <row r="282" spans="1:7">
      <c r="A282" s="8" t="s">
        <v>13</v>
      </c>
      <c r="B282">
        <v>121221</v>
      </c>
      <c r="C282" t="s">
        <v>40</v>
      </c>
      <c r="D282" t="s">
        <v>112</v>
      </c>
      <c r="E282" s="9">
        <v>7.7039999999999997E-2</v>
      </c>
      <c r="F282" s="10">
        <v>1071</v>
      </c>
      <c r="G282" s="11">
        <v>13.9</v>
      </c>
    </row>
    <row r="283" spans="1:7">
      <c r="A283" s="8" t="s">
        <v>13</v>
      </c>
      <c r="B283">
        <v>121221</v>
      </c>
      <c r="C283" t="s">
        <v>40</v>
      </c>
      <c r="D283" t="s">
        <v>113</v>
      </c>
      <c r="E283" s="9">
        <v>1.2253700000000001</v>
      </c>
      <c r="F283" s="10">
        <v>17934</v>
      </c>
      <c r="G283" s="11">
        <v>14.64</v>
      </c>
    </row>
    <row r="284" spans="1:7">
      <c r="A284" s="8" t="s">
        <v>13</v>
      </c>
      <c r="B284">
        <v>121221</v>
      </c>
      <c r="C284" t="s">
        <v>40</v>
      </c>
      <c r="D284" t="s">
        <v>114</v>
      </c>
      <c r="E284" s="9">
        <v>84.734915000000001</v>
      </c>
      <c r="F284" s="10">
        <v>1394962</v>
      </c>
      <c r="G284" s="11">
        <v>16.46</v>
      </c>
    </row>
    <row r="285" spans="1:7">
      <c r="A285" s="8" t="s">
        <v>13</v>
      </c>
      <c r="B285">
        <v>121221</v>
      </c>
      <c r="C285" t="s">
        <v>40</v>
      </c>
      <c r="D285" t="s">
        <v>115</v>
      </c>
      <c r="E285" s="9">
        <v>0.78539999999999999</v>
      </c>
      <c r="F285" s="10">
        <v>11617</v>
      </c>
      <c r="G285" s="11">
        <v>14.79</v>
      </c>
    </row>
    <row r="286" spans="1:7">
      <c r="A286" s="8" t="s">
        <v>13</v>
      </c>
      <c r="B286">
        <v>121221</v>
      </c>
      <c r="C286" t="s">
        <v>40</v>
      </c>
      <c r="D286" t="s">
        <v>116</v>
      </c>
      <c r="E286" s="9">
        <v>501.44170000000003</v>
      </c>
      <c r="F286" s="10">
        <v>6269455</v>
      </c>
      <c r="G286" s="11">
        <v>12.5</v>
      </c>
    </row>
    <row r="287" spans="1:7">
      <c r="A287" s="8" t="s">
        <v>13</v>
      </c>
      <c r="B287">
        <v>121221</v>
      </c>
      <c r="C287" t="s">
        <v>40</v>
      </c>
      <c r="D287" t="s">
        <v>117</v>
      </c>
      <c r="E287" s="9">
        <v>1.135</v>
      </c>
      <c r="F287" s="10">
        <v>29857</v>
      </c>
      <c r="G287" s="11">
        <v>26.31</v>
      </c>
    </row>
    <row r="288" spans="1:7">
      <c r="A288" s="8" t="s">
        <v>13</v>
      </c>
      <c r="B288">
        <v>121221</v>
      </c>
      <c r="C288" t="s">
        <v>40</v>
      </c>
      <c r="D288" t="s">
        <v>118</v>
      </c>
      <c r="E288" s="9">
        <v>2.0268899999999999</v>
      </c>
      <c r="F288" s="10">
        <v>8463</v>
      </c>
      <c r="G288" s="11">
        <v>4.18</v>
      </c>
    </row>
    <row r="289" spans="1:7">
      <c r="A289" s="8" t="s">
        <v>13</v>
      </c>
      <c r="B289">
        <v>121221</v>
      </c>
      <c r="C289" t="s">
        <v>40</v>
      </c>
      <c r="D289" t="s">
        <v>119</v>
      </c>
      <c r="E289" s="9">
        <v>3.5503200000000001</v>
      </c>
      <c r="F289" s="10">
        <v>84761</v>
      </c>
      <c r="G289" s="11">
        <v>23.87</v>
      </c>
    </row>
    <row r="290" spans="1:7">
      <c r="A290" s="8" t="s">
        <v>13</v>
      </c>
      <c r="B290">
        <v>121221</v>
      </c>
      <c r="C290" t="s">
        <v>40</v>
      </c>
      <c r="D290" t="s">
        <v>120</v>
      </c>
      <c r="E290" s="9">
        <v>0.26895999999999998</v>
      </c>
      <c r="F290" s="10">
        <v>4814</v>
      </c>
      <c r="G290" s="11">
        <v>17.899999999999999</v>
      </c>
    </row>
    <row r="291" spans="1:7">
      <c r="A291" s="8" t="s">
        <v>13</v>
      </c>
      <c r="B291">
        <v>121221</v>
      </c>
      <c r="C291" t="s">
        <v>40</v>
      </c>
      <c r="D291" t="s">
        <v>121</v>
      </c>
      <c r="E291" s="9">
        <v>0.36495</v>
      </c>
      <c r="F291" s="10">
        <v>9322</v>
      </c>
      <c r="G291" s="11">
        <v>25.54</v>
      </c>
    </row>
    <row r="292" spans="1:7">
      <c r="A292" s="8" t="s">
        <v>13</v>
      </c>
      <c r="B292">
        <v>121221</v>
      </c>
      <c r="C292" t="s">
        <v>40</v>
      </c>
      <c r="D292" t="s">
        <v>122</v>
      </c>
      <c r="E292" s="9">
        <v>3059.0859999999998</v>
      </c>
      <c r="F292" s="10">
        <v>40274637</v>
      </c>
      <c r="G292" s="11">
        <v>13.17</v>
      </c>
    </row>
    <row r="293" spans="1:7">
      <c r="A293" s="8" t="s">
        <v>13</v>
      </c>
      <c r="B293">
        <v>121221</v>
      </c>
      <c r="C293" t="s">
        <v>40</v>
      </c>
      <c r="D293" t="s">
        <v>124</v>
      </c>
      <c r="E293" s="9">
        <v>4.6365699999999999</v>
      </c>
      <c r="F293" s="10">
        <v>104297</v>
      </c>
      <c r="G293" s="11">
        <v>22.49</v>
      </c>
    </row>
    <row r="294" spans="1:7">
      <c r="A294" s="8" t="s">
        <v>13</v>
      </c>
      <c r="B294">
        <v>121221</v>
      </c>
      <c r="C294" t="s">
        <v>40</v>
      </c>
      <c r="D294" t="s">
        <v>125</v>
      </c>
      <c r="E294" s="9">
        <v>1.9189999999999999E-2</v>
      </c>
      <c r="F294" s="10">
        <v>691</v>
      </c>
      <c r="G294" s="11">
        <v>36.01</v>
      </c>
    </row>
    <row r="295" spans="1:7">
      <c r="A295" s="8" t="s">
        <v>13</v>
      </c>
      <c r="B295">
        <v>121221</v>
      </c>
      <c r="C295" t="s">
        <v>40</v>
      </c>
      <c r="D295" t="s">
        <v>126</v>
      </c>
      <c r="E295" s="9">
        <v>16.652629999999998</v>
      </c>
      <c r="F295" s="10">
        <v>347553</v>
      </c>
      <c r="G295" s="11">
        <v>20.87</v>
      </c>
    </row>
    <row r="296" spans="1:7">
      <c r="A296" s="8" t="s">
        <v>13</v>
      </c>
      <c r="B296">
        <v>121221</v>
      </c>
      <c r="C296" t="s">
        <v>40</v>
      </c>
      <c r="D296" t="s">
        <v>127</v>
      </c>
      <c r="E296" s="9">
        <v>2.9594</v>
      </c>
      <c r="F296" s="10">
        <v>60924</v>
      </c>
      <c r="G296" s="11">
        <v>20.59</v>
      </c>
    </row>
    <row r="297" spans="1:7">
      <c r="A297" s="8" t="s">
        <v>13</v>
      </c>
      <c r="B297">
        <v>121221</v>
      </c>
      <c r="C297" t="s">
        <v>40</v>
      </c>
      <c r="D297" t="s">
        <v>129</v>
      </c>
      <c r="E297" s="9">
        <v>37.85633</v>
      </c>
      <c r="F297" s="10">
        <v>400903</v>
      </c>
      <c r="G297" s="11">
        <v>10.59</v>
      </c>
    </row>
    <row r="298" spans="1:7">
      <c r="A298" s="8" t="s">
        <v>13</v>
      </c>
      <c r="B298">
        <v>121221</v>
      </c>
      <c r="C298" t="s">
        <v>40</v>
      </c>
      <c r="D298" t="s">
        <v>130</v>
      </c>
      <c r="E298" s="9">
        <v>2072.0549999999998</v>
      </c>
      <c r="F298" s="10">
        <v>20982328</v>
      </c>
      <c r="G298" s="11">
        <v>10.130000000000001</v>
      </c>
    </row>
    <row r="299" spans="1:7">
      <c r="A299" s="8" t="s">
        <v>13</v>
      </c>
      <c r="B299">
        <v>121221</v>
      </c>
      <c r="C299" t="s">
        <v>40</v>
      </c>
      <c r="D299" t="s">
        <v>162</v>
      </c>
      <c r="E299" s="9">
        <v>7.9000000000000001E-2</v>
      </c>
      <c r="F299" s="10">
        <v>2638</v>
      </c>
      <c r="G299" s="11">
        <v>33.39</v>
      </c>
    </row>
    <row r="300" spans="1:7">
      <c r="A300" s="8" t="s">
        <v>13</v>
      </c>
      <c r="B300">
        <v>121221</v>
      </c>
      <c r="C300" t="s">
        <v>40</v>
      </c>
      <c r="D300" t="s">
        <v>132</v>
      </c>
      <c r="E300" s="9">
        <v>8.0000000000000002E-3</v>
      </c>
      <c r="F300" s="10">
        <v>475</v>
      </c>
      <c r="G300" s="11">
        <v>59.38</v>
      </c>
    </row>
    <row r="301" spans="1:7">
      <c r="A301" s="8" t="s">
        <v>13</v>
      </c>
      <c r="B301">
        <v>200899</v>
      </c>
      <c r="C301" t="s">
        <v>133</v>
      </c>
      <c r="D301" t="s">
        <v>41</v>
      </c>
      <c r="E301" s="9">
        <v>24365.830290000002</v>
      </c>
      <c r="F301" s="10">
        <v>476947064</v>
      </c>
      <c r="G301" s="11">
        <v>19.57</v>
      </c>
    </row>
    <row r="302" spans="1:7">
      <c r="A302" s="8" t="s">
        <v>13</v>
      </c>
      <c r="B302">
        <v>200899</v>
      </c>
      <c r="C302" t="s">
        <v>133</v>
      </c>
      <c r="D302" t="s">
        <v>134</v>
      </c>
      <c r="E302" s="9">
        <v>0.13</v>
      </c>
      <c r="F302" s="10">
        <v>52</v>
      </c>
      <c r="G302" s="11">
        <v>0.4</v>
      </c>
    </row>
    <row r="303" spans="1:7">
      <c r="A303" s="8" t="s">
        <v>13</v>
      </c>
      <c r="B303">
        <v>200899</v>
      </c>
      <c r="C303" t="s">
        <v>133</v>
      </c>
      <c r="D303" t="s">
        <v>166</v>
      </c>
      <c r="E303" s="9">
        <v>5.0000000000000001E-3</v>
      </c>
      <c r="F303" s="10">
        <v>168</v>
      </c>
      <c r="G303" s="11">
        <v>33.6</v>
      </c>
    </row>
    <row r="304" spans="1:7">
      <c r="A304" s="8" t="s">
        <v>13</v>
      </c>
      <c r="B304">
        <v>200899</v>
      </c>
      <c r="C304" t="s">
        <v>133</v>
      </c>
      <c r="D304" t="s">
        <v>43</v>
      </c>
      <c r="E304" s="9">
        <v>0.83211000000000002</v>
      </c>
      <c r="F304" s="10">
        <v>22514</v>
      </c>
      <c r="G304" s="11">
        <v>27.06</v>
      </c>
    </row>
    <row r="305" spans="1:7">
      <c r="A305" s="8" t="s">
        <v>13</v>
      </c>
      <c r="B305">
        <v>200899</v>
      </c>
      <c r="C305" t="s">
        <v>133</v>
      </c>
      <c r="D305" t="s">
        <v>44</v>
      </c>
      <c r="E305" s="9">
        <v>1054.1948</v>
      </c>
      <c r="F305" s="10">
        <v>20176231</v>
      </c>
      <c r="G305" s="11">
        <v>19.14</v>
      </c>
    </row>
    <row r="306" spans="1:7">
      <c r="A306" s="8" t="s">
        <v>13</v>
      </c>
      <c r="B306">
        <v>200899</v>
      </c>
      <c r="C306" t="s">
        <v>133</v>
      </c>
      <c r="D306" t="s">
        <v>45</v>
      </c>
      <c r="E306" s="9">
        <v>25.906960000000002</v>
      </c>
      <c r="F306" s="10">
        <v>131358</v>
      </c>
      <c r="G306" s="11">
        <v>5.07</v>
      </c>
    </row>
    <row r="307" spans="1:7">
      <c r="A307" s="8" t="s">
        <v>13</v>
      </c>
      <c r="B307">
        <v>200899</v>
      </c>
      <c r="C307" t="s">
        <v>133</v>
      </c>
      <c r="D307" t="s">
        <v>46</v>
      </c>
      <c r="E307" s="9">
        <v>1.4258</v>
      </c>
      <c r="F307" s="10">
        <v>48951</v>
      </c>
      <c r="G307" s="11">
        <v>34.33</v>
      </c>
    </row>
    <row r="308" spans="1:7">
      <c r="A308" s="8" t="s">
        <v>13</v>
      </c>
      <c r="B308">
        <v>200899</v>
      </c>
      <c r="C308" t="s">
        <v>133</v>
      </c>
      <c r="D308" t="s">
        <v>47</v>
      </c>
      <c r="E308" s="9">
        <v>0.66959999999999997</v>
      </c>
      <c r="F308" s="10">
        <v>27831</v>
      </c>
      <c r="G308" s="11">
        <v>41.56</v>
      </c>
    </row>
    <row r="309" spans="1:7">
      <c r="A309" s="8" t="s">
        <v>13</v>
      </c>
      <c r="B309">
        <v>200899</v>
      </c>
      <c r="C309" t="s">
        <v>133</v>
      </c>
      <c r="D309" t="s">
        <v>48</v>
      </c>
      <c r="E309" s="9">
        <v>338.38182</v>
      </c>
      <c r="F309" s="10">
        <v>1131326</v>
      </c>
      <c r="G309" s="11">
        <v>3.34</v>
      </c>
    </row>
    <row r="310" spans="1:7">
      <c r="A310" s="8" t="s">
        <v>13</v>
      </c>
      <c r="B310">
        <v>200899</v>
      </c>
      <c r="C310" t="s">
        <v>133</v>
      </c>
      <c r="D310" t="s">
        <v>135</v>
      </c>
      <c r="E310" s="9">
        <v>0.66451000000000005</v>
      </c>
      <c r="F310" s="10">
        <v>18592</v>
      </c>
      <c r="G310" s="11">
        <v>27.98</v>
      </c>
    </row>
    <row r="311" spans="1:7">
      <c r="A311" s="8" t="s">
        <v>13</v>
      </c>
      <c r="B311">
        <v>200899</v>
      </c>
      <c r="C311" t="s">
        <v>133</v>
      </c>
      <c r="D311" t="s">
        <v>49</v>
      </c>
      <c r="E311" s="9">
        <v>2.6012599999999999</v>
      </c>
      <c r="F311" s="10">
        <v>65270</v>
      </c>
      <c r="G311" s="11">
        <v>25.09</v>
      </c>
    </row>
    <row r="312" spans="1:7">
      <c r="A312" s="8" t="s">
        <v>13</v>
      </c>
      <c r="B312">
        <v>200899</v>
      </c>
      <c r="C312" t="s">
        <v>133</v>
      </c>
      <c r="D312" t="s">
        <v>167</v>
      </c>
      <c r="E312" s="9">
        <v>4.2000000000000003E-2</v>
      </c>
      <c r="F312" s="10">
        <v>1020</v>
      </c>
      <c r="G312" s="11">
        <v>24.29</v>
      </c>
    </row>
    <row r="313" spans="1:7">
      <c r="A313" s="8" t="s">
        <v>13</v>
      </c>
      <c r="B313">
        <v>200899</v>
      </c>
      <c r="C313" t="s">
        <v>133</v>
      </c>
      <c r="D313" t="s">
        <v>50</v>
      </c>
      <c r="E313" s="9">
        <v>154.5436</v>
      </c>
      <c r="F313" s="10">
        <v>3062483</v>
      </c>
      <c r="G313" s="11">
        <v>19.82</v>
      </c>
    </row>
    <row r="314" spans="1:7">
      <c r="A314" s="8" t="s">
        <v>13</v>
      </c>
      <c r="B314">
        <v>200899</v>
      </c>
      <c r="C314" t="s">
        <v>133</v>
      </c>
      <c r="D314" t="s">
        <v>51</v>
      </c>
      <c r="E314" s="9">
        <v>5.3127000000000004</v>
      </c>
      <c r="F314" s="10">
        <v>66303</v>
      </c>
      <c r="G314" s="11">
        <v>12.48</v>
      </c>
    </row>
    <row r="315" spans="1:7">
      <c r="A315" s="8" t="s">
        <v>13</v>
      </c>
      <c r="B315">
        <v>200899</v>
      </c>
      <c r="C315" t="s">
        <v>133</v>
      </c>
      <c r="D315" t="s">
        <v>136</v>
      </c>
      <c r="E315" s="9">
        <v>3.7881999999999998</v>
      </c>
      <c r="F315" s="10">
        <v>96968</v>
      </c>
      <c r="G315" s="11">
        <v>25.6</v>
      </c>
    </row>
    <row r="316" spans="1:7">
      <c r="A316" s="8" t="s">
        <v>13</v>
      </c>
      <c r="B316">
        <v>200899</v>
      </c>
      <c r="C316" t="s">
        <v>133</v>
      </c>
      <c r="D316" t="s">
        <v>52</v>
      </c>
      <c r="E316" s="9">
        <v>13.946607999999999</v>
      </c>
      <c r="F316" s="10">
        <v>396447</v>
      </c>
      <c r="G316" s="11">
        <v>28.43</v>
      </c>
    </row>
    <row r="317" spans="1:7">
      <c r="A317" s="8" t="s">
        <v>13</v>
      </c>
      <c r="B317">
        <v>200899</v>
      </c>
      <c r="C317" t="s">
        <v>133</v>
      </c>
      <c r="D317" t="s">
        <v>137</v>
      </c>
      <c r="E317" s="9">
        <v>18.905999999999999</v>
      </c>
      <c r="F317" s="10">
        <v>434662</v>
      </c>
      <c r="G317" s="11">
        <v>22.99</v>
      </c>
    </row>
    <row r="318" spans="1:7">
      <c r="A318" s="8" t="s">
        <v>13</v>
      </c>
      <c r="B318">
        <v>200899</v>
      </c>
      <c r="C318" t="s">
        <v>133</v>
      </c>
      <c r="D318" t="s">
        <v>53</v>
      </c>
      <c r="E318" s="9">
        <v>66.025739999999999</v>
      </c>
      <c r="F318" s="10">
        <v>745986</v>
      </c>
      <c r="G318" s="11">
        <v>11.3</v>
      </c>
    </row>
    <row r="319" spans="1:7">
      <c r="A319" s="8" t="s">
        <v>13</v>
      </c>
      <c r="B319">
        <v>200899</v>
      </c>
      <c r="C319" t="s">
        <v>133</v>
      </c>
      <c r="D319" t="s">
        <v>138</v>
      </c>
      <c r="E319" s="9">
        <v>5.0000000000000001E-3</v>
      </c>
      <c r="F319" s="10">
        <v>9</v>
      </c>
      <c r="G319" s="11">
        <v>1.8</v>
      </c>
    </row>
    <row r="320" spans="1:7">
      <c r="A320" s="8" t="s">
        <v>13</v>
      </c>
      <c r="B320">
        <v>200899</v>
      </c>
      <c r="C320" t="s">
        <v>133</v>
      </c>
      <c r="D320" t="s">
        <v>54</v>
      </c>
      <c r="E320" s="9">
        <v>1187.5803000000001</v>
      </c>
      <c r="F320" s="10">
        <v>26561645</v>
      </c>
      <c r="G320" s="11">
        <v>22.37</v>
      </c>
    </row>
    <row r="321" spans="1:7">
      <c r="A321" s="8" t="s">
        <v>13</v>
      </c>
      <c r="B321">
        <v>200899</v>
      </c>
      <c r="C321" t="s">
        <v>133</v>
      </c>
      <c r="D321" t="s">
        <v>55</v>
      </c>
      <c r="E321" s="9">
        <v>52.730054000000003</v>
      </c>
      <c r="F321" s="10">
        <v>1055908</v>
      </c>
      <c r="G321" s="11">
        <v>20.02</v>
      </c>
    </row>
    <row r="322" spans="1:7">
      <c r="A322" s="8" t="s">
        <v>13</v>
      </c>
      <c r="B322">
        <v>200899</v>
      </c>
      <c r="C322" t="s">
        <v>133</v>
      </c>
      <c r="D322" t="s">
        <v>56</v>
      </c>
      <c r="E322" s="9">
        <v>2576.8359999999998</v>
      </c>
      <c r="F322" s="10">
        <v>50611326</v>
      </c>
      <c r="G322" s="11">
        <v>19.64</v>
      </c>
    </row>
    <row r="323" spans="1:7">
      <c r="A323" s="8" t="s">
        <v>13</v>
      </c>
      <c r="B323">
        <v>200899</v>
      </c>
      <c r="C323" t="s">
        <v>133</v>
      </c>
      <c r="D323" t="s">
        <v>57</v>
      </c>
      <c r="E323" s="9">
        <v>2.4392</v>
      </c>
      <c r="F323" s="10">
        <v>59527</v>
      </c>
      <c r="G323" s="11">
        <v>24.4</v>
      </c>
    </row>
    <row r="324" spans="1:7">
      <c r="A324" s="8" t="s">
        <v>13</v>
      </c>
      <c r="B324">
        <v>200899</v>
      </c>
      <c r="C324" t="s">
        <v>133</v>
      </c>
      <c r="D324" t="s">
        <v>139</v>
      </c>
      <c r="E324" s="9">
        <v>5.7099999999999998E-2</v>
      </c>
      <c r="F324" s="10">
        <v>1613</v>
      </c>
      <c r="G324" s="11">
        <v>28.25</v>
      </c>
    </row>
    <row r="325" spans="1:7">
      <c r="A325" s="8" t="s">
        <v>13</v>
      </c>
      <c r="B325">
        <v>200899</v>
      </c>
      <c r="C325" t="s">
        <v>133</v>
      </c>
      <c r="D325" t="s">
        <v>58</v>
      </c>
      <c r="E325" s="9">
        <v>2.1840000000000002</v>
      </c>
      <c r="F325" s="10">
        <v>50060</v>
      </c>
      <c r="G325" s="11">
        <v>22.92</v>
      </c>
    </row>
    <row r="326" spans="1:7">
      <c r="A326" s="8" t="s">
        <v>13</v>
      </c>
      <c r="B326">
        <v>200899</v>
      </c>
      <c r="C326" t="s">
        <v>133</v>
      </c>
      <c r="D326" t="s">
        <v>59</v>
      </c>
      <c r="E326" s="9">
        <v>50.635370000000002</v>
      </c>
      <c r="F326" s="10">
        <v>495739</v>
      </c>
      <c r="G326" s="11">
        <v>9.7899999999999991</v>
      </c>
    </row>
    <row r="327" spans="1:7">
      <c r="A327" s="8" t="s">
        <v>13</v>
      </c>
      <c r="B327">
        <v>200899</v>
      </c>
      <c r="C327" t="s">
        <v>133</v>
      </c>
      <c r="D327" t="s">
        <v>60</v>
      </c>
      <c r="E327" s="9">
        <v>46.409059999999997</v>
      </c>
      <c r="F327" s="10">
        <v>191199</v>
      </c>
      <c r="G327" s="11">
        <v>4.12</v>
      </c>
    </row>
    <row r="328" spans="1:7">
      <c r="A328" s="8" t="s">
        <v>13</v>
      </c>
      <c r="B328">
        <v>200899</v>
      </c>
      <c r="C328" t="s">
        <v>133</v>
      </c>
      <c r="D328" t="s">
        <v>61</v>
      </c>
      <c r="E328" s="9">
        <v>0.18337999999999999</v>
      </c>
      <c r="F328" s="10">
        <v>7702</v>
      </c>
      <c r="G328" s="11">
        <v>42</v>
      </c>
    </row>
    <row r="329" spans="1:7">
      <c r="A329" s="8" t="s">
        <v>13</v>
      </c>
      <c r="B329">
        <v>200899</v>
      </c>
      <c r="C329" t="s">
        <v>133</v>
      </c>
      <c r="D329" t="s">
        <v>140</v>
      </c>
      <c r="E329" s="9">
        <v>0.90251999999999999</v>
      </c>
      <c r="F329" s="10">
        <v>28293</v>
      </c>
      <c r="G329" s="11">
        <v>31.35</v>
      </c>
    </row>
    <row r="330" spans="1:7">
      <c r="A330" s="8" t="s">
        <v>13</v>
      </c>
      <c r="B330">
        <v>200899</v>
      </c>
      <c r="C330" t="s">
        <v>133</v>
      </c>
      <c r="D330" t="s">
        <v>141</v>
      </c>
      <c r="E330" s="9">
        <v>33.582540000000002</v>
      </c>
      <c r="F330" s="10">
        <v>754625</v>
      </c>
      <c r="G330" s="11">
        <v>22.47</v>
      </c>
    </row>
    <row r="331" spans="1:7">
      <c r="A331" s="8" t="s">
        <v>13</v>
      </c>
      <c r="B331">
        <v>200899</v>
      </c>
      <c r="C331" t="s">
        <v>133</v>
      </c>
      <c r="D331" t="s">
        <v>62</v>
      </c>
      <c r="E331" s="9">
        <v>1.13402</v>
      </c>
      <c r="F331" s="10">
        <v>46714</v>
      </c>
      <c r="G331" s="11">
        <v>41.19</v>
      </c>
    </row>
    <row r="332" spans="1:7">
      <c r="A332" s="8" t="s">
        <v>13</v>
      </c>
      <c r="B332">
        <v>200899</v>
      </c>
      <c r="C332" t="s">
        <v>133</v>
      </c>
      <c r="D332" t="s">
        <v>142</v>
      </c>
      <c r="E332" s="9">
        <v>35.859690000000001</v>
      </c>
      <c r="F332" s="10">
        <v>472328</v>
      </c>
      <c r="G332" s="11">
        <v>13.17</v>
      </c>
    </row>
    <row r="333" spans="1:7">
      <c r="A333" s="8" t="s">
        <v>13</v>
      </c>
      <c r="B333">
        <v>200899</v>
      </c>
      <c r="C333" t="s">
        <v>133</v>
      </c>
      <c r="D333" t="s">
        <v>63</v>
      </c>
      <c r="E333" s="9">
        <v>268.19152000000003</v>
      </c>
      <c r="F333" s="10">
        <v>5784839</v>
      </c>
      <c r="G333" s="11">
        <v>21.57</v>
      </c>
    </row>
    <row r="334" spans="1:7">
      <c r="A334" s="8" t="s">
        <v>13</v>
      </c>
      <c r="B334">
        <v>200899</v>
      </c>
      <c r="C334" t="s">
        <v>133</v>
      </c>
      <c r="D334" t="s">
        <v>143</v>
      </c>
      <c r="E334" s="9">
        <v>0.2417</v>
      </c>
      <c r="F334" s="10">
        <v>12962</v>
      </c>
      <c r="G334" s="11">
        <v>53.63</v>
      </c>
    </row>
    <row r="335" spans="1:7">
      <c r="A335" s="8" t="s">
        <v>13</v>
      </c>
      <c r="B335">
        <v>200899</v>
      </c>
      <c r="C335" t="s">
        <v>133</v>
      </c>
      <c r="D335" t="s">
        <v>64</v>
      </c>
      <c r="E335" s="9">
        <v>412.12479000000002</v>
      </c>
      <c r="F335" s="10">
        <v>9548176</v>
      </c>
      <c r="G335" s="11">
        <v>23.17</v>
      </c>
    </row>
    <row r="336" spans="1:7">
      <c r="A336" s="8" t="s">
        <v>13</v>
      </c>
      <c r="B336">
        <v>200899</v>
      </c>
      <c r="C336" t="s">
        <v>133</v>
      </c>
      <c r="D336" t="s">
        <v>144</v>
      </c>
      <c r="E336" s="9">
        <v>2.4E-2</v>
      </c>
      <c r="F336" s="10">
        <v>611</v>
      </c>
      <c r="G336" s="11">
        <v>25.46</v>
      </c>
    </row>
    <row r="337" spans="1:7">
      <c r="A337" s="8" t="s">
        <v>13</v>
      </c>
      <c r="B337">
        <v>200899</v>
      </c>
      <c r="C337" t="s">
        <v>133</v>
      </c>
      <c r="D337" t="s">
        <v>65</v>
      </c>
      <c r="E337" s="9">
        <v>5.617</v>
      </c>
      <c r="F337" s="10">
        <v>148419</v>
      </c>
      <c r="G337" s="11">
        <v>26.42</v>
      </c>
    </row>
    <row r="338" spans="1:7">
      <c r="A338" s="8" t="s">
        <v>13</v>
      </c>
      <c r="B338">
        <v>200899</v>
      </c>
      <c r="C338" t="s">
        <v>133</v>
      </c>
      <c r="D338" t="s">
        <v>66</v>
      </c>
      <c r="E338" s="9">
        <v>34.947270000000003</v>
      </c>
      <c r="F338" s="10">
        <v>386999</v>
      </c>
      <c r="G338" s="11">
        <v>11.07</v>
      </c>
    </row>
    <row r="339" spans="1:7">
      <c r="A339" s="8" t="s">
        <v>13</v>
      </c>
      <c r="B339">
        <v>200899</v>
      </c>
      <c r="C339" t="s">
        <v>133</v>
      </c>
      <c r="D339" t="s">
        <v>67</v>
      </c>
      <c r="E339" s="9">
        <v>4.910622</v>
      </c>
      <c r="F339" s="10">
        <v>90324</v>
      </c>
      <c r="G339" s="11">
        <v>18.39</v>
      </c>
    </row>
    <row r="340" spans="1:7">
      <c r="A340" s="8" t="s">
        <v>13</v>
      </c>
      <c r="B340">
        <v>200899</v>
      </c>
      <c r="C340" t="s">
        <v>133</v>
      </c>
      <c r="D340" t="s">
        <v>69</v>
      </c>
      <c r="E340" s="9">
        <v>4.2070000000000003E-2</v>
      </c>
      <c r="F340" s="10">
        <v>268</v>
      </c>
      <c r="G340" s="11">
        <v>6.37</v>
      </c>
    </row>
    <row r="341" spans="1:7">
      <c r="A341" s="8" t="s">
        <v>13</v>
      </c>
      <c r="B341">
        <v>200899</v>
      </c>
      <c r="C341" t="s">
        <v>133</v>
      </c>
      <c r="D341" t="s">
        <v>70</v>
      </c>
      <c r="E341" s="9">
        <v>527.09180000000003</v>
      </c>
      <c r="F341" s="10">
        <v>8751499</v>
      </c>
      <c r="G341" s="11">
        <v>16.600000000000001</v>
      </c>
    </row>
    <row r="342" spans="1:7">
      <c r="A342" s="8" t="s">
        <v>13</v>
      </c>
      <c r="B342">
        <v>200899</v>
      </c>
      <c r="C342" t="s">
        <v>133</v>
      </c>
      <c r="D342" t="s">
        <v>71</v>
      </c>
      <c r="E342" s="9">
        <v>0.85765999999999998</v>
      </c>
      <c r="F342" s="10">
        <v>24192</v>
      </c>
      <c r="G342" s="11">
        <v>28.21</v>
      </c>
    </row>
    <row r="343" spans="1:7">
      <c r="A343" s="8" t="s">
        <v>13</v>
      </c>
      <c r="B343">
        <v>200899</v>
      </c>
      <c r="C343" t="s">
        <v>133</v>
      </c>
      <c r="D343" t="s">
        <v>72</v>
      </c>
      <c r="E343" s="9">
        <v>219.02090000000001</v>
      </c>
      <c r="F343" s="10">
        <v>6317742</v>
      </c>
      <c r="G343" s="11">
        <v>28.85</v>
      </c>
    </row>
    <row r="344" spans="1:7">
      <c r="A344" s="8" t="s">
        <v>13</v>
      </c>
      <c r="B344">
        <v>200899</v>
      </c>
      <c r="C344" t="s">
        <v>133</v>
      </c>
      <c r="D344" t="s">
        <v>73</v>
      </c>
      <c r="E344" s="9">
        <v>2.7387380000000001</v>
      </c>
      <c r="F344" s="10">
        <v>37178</v>
      </c>
      <c r="G344" s="11">
        <v>13.57</v>
      </c>
    </row>
    <row r="345" spans="1:7">
      <c r="A345" s="8" t="s">
        <v>13</v>
      </c>
      <c r="B345">
        <v>200899</v>
      </c>
      <c r="C345" t="s">
        <v>133</v>
      </c>
      <c r="D345" t="s">
        <v>74</v>
      </c>
      <c r="E345" s="9">
        <v>3.0546199999999999</v>
      </c>
      <c r="F345" s="10">
        <v>101805</v>
      </c>
      <c r="G345" s="11">
        <v>33.33</v>
      </c>
    </row>
    <row r="346" spans="1:7">
      <c r="A346" s="8" t="s">
        <v>13</v>
      </c>
      <c r="B346">
        <v>200899</v>
      </c>
      <c r="C346" t="s">
        <v>133</v>
      </c>
      <c r="D346" t="s">
        <v>75</v>
      </c>
      <c r="E346" s="9">
        <v>46.254959999999997</v>
      </c>
      <c r="F346" s="10">
        <v>1518249</v>
      </c>
      <c r="G346" s="11">
        <v>32.82</v>
      </c>
    </row>
    <row r="347" spans="1:7">
      <c r="A347" s="8" t="s">
        <v>13</v>
      </c>
      <c r="B347">
        <v>200899</v>
      </c>
      <c r="C347" t="s">
        <v>133</v>
      </c>
      <c r="D347" t="s">
        <v>76</v>
      </c>
      <c r="E347" s="9">
        <v>91.992819999999995</v>
      </c>
      <c r="F347" s="10">
        <v>1298850</v>
      </c>
      <c r="G347" s="11">
        <v>14.12</v>
      </c>
    </row>
    <row r="348" spans="1:7">
      <c r="A348" s="8" t="s">
        <v>13</v>
      </c>
      <c r="B348">
        <v>200899</v>
      </c>
      <c r="C348" t="s">
        <v>133</v>
      </c>
      <c r="D348" t="s">
        <v>77</v>
      </c>
      <c r="E348" s="9">
        <v>1.9E-2</v>
      </c>
      <c r="F348" s="10">
        <v>312</v>
      </c>
      <c r="G348" s="11">
        <v>16.420000000000002</v>
      </c>
    </row>
    <row r="349" spans="1:7">
      <c r="A349" s="8" t="s">
        <v>13</v>
      </c>
      <c r="B349">
        <v>200899</v>
      </c>
      <c r="C349" t="s">
        <v>133</v>
      </c>
      <c r="D349" t="s">
        <v>78</v>
      </c>
      <c r="E349" s="9">
        <v>3738.7979999999998</v>
      </c>
      <c r="F349" s="10">
        <v>71048862</v>
      </c>
      <c r="G349" s="11">
        <v>19</v>
      </c>
    </row>
    <row r="350" spans="1:7">
      <c r="A350" s="8" t="s">
        <v>13</v>
      </c>
      <c r="B350">
        <v>200899</v>
      </c>
      <c r="C350" t="s">
        <v>133</v>
      </c>
      <c r="D350" t="s">
        <v>79</v>
      </c>
      <c r="E350" s="9">
        <v>34.069429999999997</v>
      </c>
      <c r="F350" s="10">
        <v>846027</v>
      </c>
      <c r="G350" s="11">
        <v>24.83</v>
      </c>
    </row>
    <row r="351" spans="1:7">
      <c r="A351" s="8" t="s">
        <v>13</v>
      </c>
      <c r="B351">
        <v>200899</v>
      </c>
      <c r="C351" t="s">
        <v>133</v>
      </c>
      <c r="D351" t="s">
        <v>145</v>
      </c>
      <c r="E351" s="9">
        <v>0.97977999999999998</v>
      </c>
      <c r="F351" s="10">
        <v>36772</v>
      </c>
      <c r="G351" s="11">
        <v>37.53</v>
      </c>
    </row>
    <row r="352" spans="1:7">
      <c r="A352" s="8" t="s">
        <v>13</v>
      </c>
      <c r="B352">
        <v>200899</v>
      </c>
      <c r="C352" t="s">
        <v>133</v>
      </c>
      <c r="D352" t="s">
        <v>80</v>
      </c>
      <c r="E352" s="9">
        <v>6.6799999999999998E-2</v>
      </c>
      <c r="F352" s="10">
        <v>433</v>
      </c>
      <c r="G352" s="11">
        <v>6.48</v>
      </c>
    </row>
    <row r="353" spans="1:7">
      <c r="A353" s="8" t="s">
        <v>13</v>
      </c>
      <c r="B353">
        <v>200899</v>
      </c>
      <c r="C353" t="s">
        <v>133</v>
      </c>
      <c r="D353" t="s">
        <v>81</v>
      </c>
      <c r="E353" s="9">
        <v>4.3683500000000004</v>
      </c>
      <c r="F353" s="10">
        <v>141841</v>
      </c>
      <c r="G353" s="11">
        <v>32.47</v>
      </c>
    </row>
    <row r="354" spans="1:7">
      <c r="A354" s="8" t="s">
        <v>13</v>
      </c>
      <c r="B354">
        <v>200899</v>
      </c>
      <c r="C354" t="s">
        <v>133</v>
      </c>
      <c r="D354" t="s">
        <v>82</v>
      </c>
      <c r="E354" s="9">
        <v>1.3221000000000001</v>
      </c>
      <c r="F354" s="10">
        <v>25178</v>
      </c>
      <c r="G354" s="11">
        <v>19.04</v>
      </c>
    </row>
    <row r="355" spans="1:7">
      <c r="A355" s="8" t="s">
        <v>13</v>
      </c>
      <c r="B355">
        <v>200899</v>
      </c>
      <c r="C355" t="s">
        <v>133</v>
      </c>
      <c r="D355" t="s">
        <v>83</v>
      </c>
      <c r="E355" s="9">
        <v>13.01388</v>
      </c>
      <c r="F355" s="10">
        <v>161297</v>
      </c>
      <c r="G355" s="11">
        <v>12.39</v>
      </c>
    </row>
    <row r="356" spans="1:7">
      <c r="A356" s="8" t="s">
        <v>13</v>
      </c>
      <c r="B356">
        <v>200899</v>
      </c>
      <c r="C356" t="s">
        <v>133</v>
      </c>
      <c r="D356" t="s">
        <v>84</v>
      </c>
      <c r="E356" s="9">
        <v>0.97511999999999999</v>
      </c>
      <c r="F356" s="10">
        <v>28948</v>
      </c>
      <c r="G356" s="11">
        <v>29.69</v>
      </c>
    </row>
    <row r="357" spans="1:7">
      <c r="A357" s="8" t="s">
        <v>13</v>
      </c>
      <c r="B357">
        <v>200899</v>
      </c>
      <c r="C357" t="s">
        <v>133</v>
      </c>
      <c r="D357" t="s">
        <v>146</v>
      </c>
      <c r="E357" s="9">
        <v>8.1259999999999994</v>
      </c>
      <c r="F357" s="10">
        <v>145976</v>
      </c>
      <c r="G357" s="11">
        <v>17.96</v>
      </c>
    </row>
    <row r="358" spans="1:7">
      <c r="A358" s="8" t="s">
        <v>13</v>
      </c>
      <c r="B358">
        <v>200899</v>
      </c>
      <c r="C358" t="s">
        <v>133</v>
      </c>
      <c r="D358" t="s">
        <v>86</v>
      </c>
      <c r="E358" s="9">
        <v>12.90236</v>
      </c>
      <c r="F358" s="10">
        <v>412520</v>
      </c>
      <c r="G358" s="11">
        <v>31.97</v>
      </c>
    </row>
    <row r="359" spans="1:7">
      <c r="A359" s="8" t="s">
        <v>13</v>
      </c>
      <c r="B359">
        <v>200899</v>
      </c>
      <c r="C359" t="s">
        <v>133</v>
      </c>
      <c r="D359" t="s">
        <v>87</v>
      </c>
      <c r="E359" s="9">
        <v>0.83199999999999996</v>
      </c>
      <c r="F359" s="10">
        <v>4824</v>
      </c>
      <c r="G359" s="11">
        <v>5.8</v>
      </c>
    </row>
    <row r="360" spans="1:7">
      <c r="A360" s="8" t="s">
        <v>13</v>
      </c>
      <c r="B360">
        <v>200899</v>
      </c>
      <c r="C360" t="s">
        <v>133</v>
      </c>
      <c r="D360" t="s">
        <v>88</v>
      </c>
      <c r="E360" s="9">
        <v>340.81130000000002</v>
      </c>
      <c r="F360" s="10">
        <v>4869654</v>
      </c>
      <c r="G360" s="11">
        <v>14.29</v>
      </c>
    </row>
    <row r="361" spans="1:7">
      <c r="A361" s="8" t="s">
        <v>13</v>
      </c>
      <c r="B361">
        <v>200899</v>
      </c>
      <c r="C361" t="s">
        <v>133</v>
      </c>
      <c r="D361" t="s">
        <v>150</v>
      </c>
      <c r="E361" s="9">
        <v>6.4999999999999997E-3</v>
      </c>
      <c r="F361" s="10">
        <v>8</v>
      </c>
      <c r="G361" s="11">
        <v>1.23</v>
      </c>
    </row>
    <row r="362" spans="1:7">
      <c r="A362" s="8" t="s">
        <v>13</v>
      </c>
      <c r="B362">
        <v>200899</v>
      </c>
      <c r="C362" t="s">
        <v>133</v>
      </c>
      <c r="D362" t="s">
        <v>89</v>
      </c>
      <c r="E362" s="9">
        <v>9.6600000000000005E-2</v>
      </c>
      <c r="F362" s="10">
        <v>3122</v>
      </c>
      <c r="G362" s="11">
        <v>32.32</v>
      </c>
    </row>
    <row r="363" spans="1:7">
      <c r="A363" s="8" t="s">
        <v>13</v>
      </c>
      <c r="B363">
        <v>200899</v>
      </c>
      <c r="C363" t="s">
        <v>133</v>
      </c>
      <c r="D363" t="s">
        <v>168</v>
      </c>
      <c r="E363" s="9">
        <v>0.75839999999999996</v>
      </c>
      <c r="F363" s="10">
        <v>4428</v>
      </c>
      <c r="G363" s="11">
        <v>5.84</v>
      </c>
    </row>
    <row r="364" spans="1:7">
      <c r="A364" s="8" t="s">
        <v>13</v>
      </c>
      <c r="B364">
        <v>200899</v>
      </c>
      <c r="C364" t="s">
        <v>133</v>
      </c>
      <c r="D364" t="s">
        <v>90</v>
      </c>
      <c r="E364" s="9">
        <v>43.651359999999997</v>
      </c>
      <c r="F364" s="10">
        <v>1336480</v>
      </c>
      <c r="G364" s="11">
        <v>30.62</v>
      </c>
    </row>
    <row r="365" spans="1:7">
      <c r="A365" s="8" t="s">
        <v>13</v>
      </c>
      <c r="B365">
        <v>200899</v>
      </c>
      <c r="C365" t="s">
        <v>133</v>
      </c>
      <c r="D365" t="s">
        <v>91</v>
      </c>
      <c r="E365" s="9">
        <v>732.0462</v>
      </c>
      <c r="F365" s="10">
        <v>16201923</v>
      </c>
      <c r="G365" s="11">
        <v>22.13</v>
      </c>
    </row>
    <row r="366" spans="1:7">
      <c r="A366" s="8" t="s">
        <v>13</v>
      </c>
      <c r="B366">
        <v>200899</v>
      </c>
      <c r="C366" t="s">
        <v>133</v>
      </c>
      <c r="D366" t="s">
        <v>92</v>
      </c>
      <c r="E366" s="9">
        <v>239.94607999999999</v>
      </c>
      <c r="F366" s="10">
        <v>2232203</v>
      </c>
      <c r="G366" s="11">
        <v>9.3000000000000007</v>
      </c>
    </row>
    <row r="367" spans="1:7">
      <c r="A367" s="8" t="s">
        <v>13</v>
      </c>
      <c r="B367">
        <v>200899</v>
      </c>
      <c r="C367" t="s">
        <v>133</v>
      </c>
      <c r="D367" t="s">
        <v>93</v>
      </c>
      <c r="E367" s="9">
        <v>5.3078799999999999</v>
      </c>
      <c r="F367" s="10">
        <v>19808</v>
      </c>
      <c r="G367" s="11">
        <v>3.73</v>
      </c>
    </row>
    <row r="368" spans="1:7">
      <c r="A368" s="8" t="s">
        <v>13</v>
      </c>
      <c r="B368">
        <v>200899</v>
      </c>
      <c r="C368" t="s">
        <v>133</v>
      </c>
      <c r="D368" t="s">
        <v>169</v>
      </c>
      <c r="E368" s="9">
        <v>1.1000000000000001</v>
      </c>
      <c r="F368" s="10">
        <v>597</v>
      </c>
      <c r="G368" s="11">
        <v>0.54</v>
      </c>
    </row>
    <row r="369" spans="1:7">
      <c r="A369" s="8" t="s">
        <v>13</v>
      </c>
      <c r="B369">
        <v>200899</v>
      </c>
      <c r="C369" t="s">
        <v>133</v>
      </c>
      <c r="D369" t="s">
        <v>151</v>
      </c>
      <c r="E369" s="9">
        <v>0.46489999999999998</v>
      </c>
      <c r="F369" s="10">
        <v>19160</v>
      </c>
      <c r="G369" s="11">
        <v>41.21</v>
      </c>
    </row>
    <row r="370" spans="1:7">
      <c r="A370" s="8" t="s">
        <v>13</v>
      </c>
      <c r="B370">
        <v>200899</v>
      </c>
      <c r="C370" t="s">
        <v>133</v>
      </c>
      <c r="D370" t="s">
        <v>152</v>
      </c>
      <c r="E370" s="9">
        <v>1.5845899999999999</v>
      </c>
      <c r="F370" s="10">
        <v>41832</v>
      </c>
      <c r="G370" s="11">
        <v>26.4</v>
      </c>
    </row>
    <row r="371" spans="1:7">
      <c r="A371" s="8" t="s">
        <v>13</v>
      </c>
      <c r="B371">
        <v>200899</v>
      </c>
      <c r="C371" t="s">
        <v>133</v>
      </c>
      <c r="D371" t="s">
        <v>95</v>
      </c>
      <c r="E371" s="9">
        <v>232.44498999999999</v>
      </c>
      <c r="F371" s="10">
        <v>4470855</v>
      </c>
      <c r="G371" s="11">
        <v>19.23</v>
      </c>
    </row>
    <row r="372" spans="1:7">
      <c r="A372" s="8" t="s">
        <v>13</v>
      </c>
      <c r="B372">
        <v>200899</v>
      </c>
      <c r="C372" t="s">
        <v>133</v>
      </c>
      <c r="D372" t="s">
        <v>170</v>
      </c>
      <c r="E372" s="9">
        <v>1.264E-2</v>
      </c>
      <c r="F372" s="10">
        <v>110</v>
      </c>
      <c r="G372" s="11">
        <v>8.6999999999999993</v>
      </c>
    </row>
    <row r="373" spans="1:7">
      <c r="A373" s="8" t="s">
        <v>13</v>
      </c>
      <c r="B373">
        <v>200899</v>
      </c>
      <c r="C373" t="s">
        <v>133</v>
      </c>
      <c r="D373" t="s">
        <v>153</v>
      </c>
      <c r="E373" s="9">
        <v>4.5799999999999999E-3</v>
      </c>
      <c r="F373" s="10">
        <v>37</v>
      </c>
      <c r="G373" s="11">
        <v>8.08</v>
      </c>
    </row>
    <row r="374" spans="1:7">
      <c r="A374" s="8" t="s">
        <v>13</v>
      </c>
      <c r="B374">
        <v>200899</v>
      </c>
      <c r="C374" t="s">
        <v>133</v>
      </c>
      <c r="D374" t="s">
        <v>97</v>
      </c>
      <c r="E374" s="9">
        <v>132.80359999999999</v>
      </c>
      <c r="F374" s="10">
        <v>3973297</v>
      </c>
      <c r="G374" s="11">
        <v>29.92</v>
      </c>
    </row>
    <row r="375" spans="1:7">
      <c r="A375" s="8" t="s">
        <v>13</v>
      </c>
      <c r="B375">
        <v>200899</v>
      </c>
      <c r="C375" t="s">
        <v>133</v>
      </c>
      <c r="D375" t="s">
        <v>154</v>
      </c>
      <c r="E375" s="9">
        <v>6.9320000000000007E-2</v>
      </c>
      <c r="F375" s="10">
        <v>1305</v>
      </c>
      <c r="G375" s="11">
        <v>18.829999999999998</v>
      </c>
    </row>
    <row r="376" spans="1:7">
      <c r="A376" s="8" t="s">
        <v>13</v>
      </c>
      <c r="B376">
        <v>200899</v>
      </c>
      <c r="C376" t="s">
        <v>133</v>
      </c>
      <c r="D376" t="s">
        <v>99</v>
      </c>
      <c r="E376" s="9">
        <v>8.6058900000000005</v>
      </c>
      <c r="F376" s="10">
        <v>253298</v>
      </c>
      <c r="G376" s="11">
        <v>29.43</v>
      </c>
    </row>
    <row r="377" spans="1:7">
      <c r="A377" s="8" t="s">
        <v>13</v>
      </c>
      <c r="B377">
        <v>200899</v>
      </c>
      <c r="C377" t="s">
        <v>133</v>
      </c>
      <c r="D377" t="s">
        <v>100</v>
      </c>
      <c r="E377" s="9">
        <v>9.02684</v>
      </c>
      <c r="F377" s="10">
        <v>158141</v>
      </c>
      <c r="G377" s="11">
        <v>17.52</v>
      </c>
    </row>
    <row r="378" spans="1:7">
      <c r="A378" s="8" t="s">
        <v>13</v>
      </c>
      <c r="B378">
        <v>200899</v>
      </c>
      <c r="C378" t="s">
        <v>133</v>
      </c>
      <c r="D378" t="s">
        <v>155</v>
      </c>
      <c r="E378" s="9">
        <v>7.0788000000000004E-2</v>
      </c>
      <c r="F378" s="10">
        <v>2840</v>
      </c>
      <c r="G378" s="11">
        <v>40.119999999999997</v>
      </c>
    </row>
    <row r="379" spans="1:7">
      <c r="A379" s="8" t="s">
        <v>13</v>
      </c>
      <c r="B379">
        <v>200899</v>
      </c>
      <c r="C379" t="s">
        <v>133</v>
      </c>
      <c r="D379" t="s">
        <v>102</v>
      </c>
      <c r="E379" s="9">
        <v>0.70232000000000006</v>
      </c>
      <c r="F379" s="10">
        <v>25871</v>
      </c>
      <c r="G379" s="11">
        <v>36.840000000000003</v>
      </c>
    </row>
    <row r="380" spans="1:7">
      <c r="A380" s="8" t="s">
        <v>13</v>
      </c>
      <c r="B380">
        <v>200899</v>
      </c>
      <c r="C380" t="s">
        <v>133</v>
      </c>
      <c r="D380" t="s">
        <v>103</v>
      </c>
      <c r="E380" s="9">
        <v>0.82462000000000002</v>
      </c>
      <c r="F380" s="10">
        <v>27192</v>
      </c>
      <c r="G380" s="11">
        <v>32.979999999999997</v>
      </c>
    </row>
    <row r="381" spans="1:7">
      <c r="A381" s="8" t="s">
        <v>13</v>
      </c>
      <c r="B381">
        <v>200899</v>
      </c>
      <c r="C381" t="s">
        <v>133</v>
      </c>
      <c r="D381" t="s">
        <v>104</v>
      </c>
      <c r="E381" s="9">
        <v>18.911549999999998</v>
      </c>
      <c r="F381" s="10">
        <v>115268</v>
      </c>
      <c r="G381" s="11">
        <v>6.1</v>
      </c>
    </row>
    <row r="382" spans="1:7">
      <c r="A382" s="8" t="s">
        <v>13</v>
      </c>
      <c r="B382">
        <v>200899</v>
      </c>
      <c r="C382" t="s">
        <v>133</v>
      </c>
      <c r="D382" t="s">
        <v>105</v>
      </c>
      <c r="E382" s="9">
        <v>2.4546600000000001</v>
      </c>
      <c r="F382" s="10">
        <v>77143</v>
      </c>
      <c r="G382" s="11">
        <v>31.43</v>
      </c>
    </row>
    <row r="383" spans="1:7">
      <c r="A383" s="8" t="s">
        <v>13</v>
      </c>
      <c r="B383">
        <v>200899</v>
      </c>
      <c r="C383" t="s">
        <v>133</v>
      </c>
      <c r="D383" t="s">
        <v>106</v>
      </c>
      <c r="E383" s="9">
        <v>728.06679999999994</v>
      </c>
      <c r="F383" s="10">
        <v>10513657</v>
      </c>
      <c r="G383" s="11">
        <v>14.44</v>
      </c>
    </row>
    <row r="384" spans="1:7">
      <c r="A384" s="8" t="s">
        <v>13</v>
      </c>
      <c r="B384">
        <v>200899</v>
      </c>
      <c r="C384" t="s">
        <v>133</v>
      </c>
      <c r="D384" t="s">
        <v>107</v>
      </c>
      <c r="E384" s="9">
        <v>180.48893000000001</v>
      </c>
      <c r="F384" s="10">
        <v>4910704</v>
      </c>
      <c r="G384" s="11">
        <v>27.21</v>
      </c>
    </row>
    <row r="385" spans="1:7">
      <c r="A385" s="8" t="s">
        <v>13</v>
      </c>
      <c r="B385">
        <v>200899</v>
      </c>
      <c r="C385" t="s">
        <v>133</v>
      </c>
      <c r="D385" t="s">
        <v>157</v>
      </c>
      <c r="E385" s="9">
        <v>0.51436999999999999</v>
      </c>
      <c r="F385" s="10">
        <v>16466</v>
      </c>
      <c r="G385" s="11">
        <v>32.01</v>
      </c>
    </row>
    <row r="386" spans="1:7">
      <c r="A386" s="8" t="s">
        <v>13</v>
      </c>
      <c r="B386">
        <v>200899</v>
      </c>
      <c r="C386" t="s">
        <v>133</v>
      </c>
      <c r="D386" t="s">
        <v>108</v>
      </c>
      <c r="E386" s="9">
        <v>8.2526250000000001</v>
      </c>
      <c r="F386" s="10">
        <v>254081</v>
      </c>
      <c r="G386" s="11">
        <v>30.79</v>
      </c>
    </row>
    <row r="387" spans="1:7">
      <c r="A387" s="8" t="s">
        <v>13</v>
      </c>
      <c r="B387">
        <v>200899</v>
      </c>
      <c r="C387" t="s">
        <v>133</v>
      </c>
      <c r="D387" t="s">
        <v>158</v>
      </c>
      <c r="E387" s="9">
        <v>14.102639999999999</v>
      </c>
      <c r="F387" s="10">
        <v>220620</v>
      </c>
      <c r="G387" s="11">
        <v>15.64</v>
      </c>
    </row>
    <row r="388" spans="1:7">
      <c r="A388" s="8" t="s">
        <v>13</v>
      </c>
      <c r="B388">
        <v>200899</v>
      </c>
      <c r="C388" t="s">
        <v>133</v>
      </c>
      <c r="D388" t="s">
        <v>109</v>
      </c>
      <c r="E388" s="9">
        <v>609.34439999999995</v>
      </c>
      <c r="F388" s="10">
        <v>11662966</v>
      </c>
      <c r="G388" s="11">
        <v>19.14</v>
      </c>
    </row>
    <row r="389" spans="1:7">
      <c r="A389" s="8" t="s">
        <v>13</v>
      </c>
      <c r="B389">
        <v>200899</v>
      </c>
      <c r="C389" t="s">
        <v>133</v>
      </c>
      <c r="D389" t="s">
        <v>110</v>
      </c>
      <c r="E389" s="9">
        <v>15.79067</v>
      </c>
      <c r="F389" s="10">
        <v>326925</v>
      </c>
      <c r="G389" s="11">
        <v>20.7</v>
      </c>
    </row>
    <row r="390" spans="1:7">
      <c r="A390" s="8" t="s">
        <v>13</v>
      </c>
      <c r="B390">
        <v>200899</v>
      </c>
      <c r="C390" t="s">
        <v>133</v>
      </c>
      <c r="D390" t="s">
        <v>112</v>
      </c>
      <c r="E390" s="9">
        <v>1.4236</v>
      </c>
      <c r="F390" s="10">
        <v>30958</v>
      </c>
      <c r="G390" s="11">
        <v>21.75</v>
      </c>
    </row>
    <row r="391" spans="1:7">
      <c r="A391" s="8" t="s">
        <v>13</v>
      </c>
      <c r="B391">
        <v>200899</v>
      </c>
      <c r="C391" t="s">
        <v>133</v>
      </c>
      <c r="D391" t="s">
        <v>113</v>
      </c>
      <c r="E391" s="9">
        <v>20.625665000000001</v>
      </c>
      <c r="F391" s="10">
        <v>451544</v>
      </c>
      <c r="G391" s="11">
        <v>21.89</v>
      </c>
    </row>
    <row r="392" spans="1:7">
      <c r="A392" s="8" t="s">
        <v>13</v>
      </c>
      <c r="B392">
        <v>200899</v>
      </c>
      <c r="C392" t="s">
        <v>133</v>
      </c>
      <c r="D392" t="s">
        <v>114</v>
      </c>
      <c r="E392" s="9">
        <v>268.16340000000002</v>
      </c>
      <c r="F392" s="10">
        <v>4368561</v>
      </c>
      <c r="G392" s="11">
        <v>16.29</v>
      </c>
    </row>
    <row r="393" spans="1:7">
      <c r="A393" s="8" t="s">
        <v>13</v>
      </c>
      <c r="B393">
        <v>200899</v>
      </c>
      <c r="C393" t="s">
        <v>133</v>
      </c>
      <c r="D393" t="s">
        <v>115</v>
      </c>
      <c r="E393" s="9">
        <v>0.50190000000000001</v>
      </c>
      <c r="F393" s="10">
        <v>9268</v>
      </c>
      <c r="G393" s="11">
        <v>18.47</v>
      </c>
    </row>
    <row r="394" spans="1:7">
      <c r="A394" s="8" t="s">
        <v>13</v>
      </c>
      <c r="B394">
        <v>200899</v>
      </c>
      <c r="C394" t="s">
        <v>133</v>
      </c>
      <c r="D394" t="s">
        <v>116</v>
      </c>
      <c r="E394" s="9">
        <v>1239.5673999999999</v>
      </c>
      <c r="F394" s="10">
        <v>21552153</v>
      </c>
      <c r="G394" s="11">
        <v>17.39</v>
      </c>
    </row>
    <row r="395" spans="1:7">
      <c r="A395" s="8" t="s">
        <v>13</v>
      </c>
      <c r="B395">
        <v>200899</v>
      </c>
      <c r="C395" t="s">
        <v>133</v>
      </c>
      <c r="D395" t="s">
        <v>117</v>
      </c>
      <c r="E395" s="9">
        <v>0.67346600000000001</v>
      </c>
      <c r="F395" s="10">
        <v>20656</v>
      </c>
      <c r="G395" s="11">
        <v>30.67</v>
      </c>
    </row>
    <row r="396" spans="1:7">
      <c r="A396" s="8" t="s">
        <v>13</v>
      </c>
      <c r="B396">
        <v>200899</v>
      </c>
      <c r="C396" t="s">
        <v>133</v>
      </c>
      <c r="D396" t="s">
        <v>118</v>
      </c>
      <c r="E396" s="9">
        <v>5.2444499999999996</v>
      </c>
      <c r="F396" s="10">
        <v>187192</v>
      </c>
      <c r="G396" s="11">
        <v>35.69</v>
      </c>
    </row>
    <row r="397" spans="1:7">
      <c r="A397" s="8" t="s">
        <v>13</v>
      </c>
      <c r="B397">
        <v>200899</v>
      </c>
      <c r="C397" t="s">
        <v>133</v>
      </c>
      <c r="D397" t="s">
        <v>119</v>
      </c>
      <c r="E397" s="9">
        <v>47.463839999999998</v>
      </c>
      <c r="F397" s="10">
        <v>951410</v>
      </c>
      <c r="G397" s="11">
        <v>20.04</v>
      </c>
    </row>
    <row r="398" spans="1:7">
      <c r="A398" s="8" t="s">
        <v>13</v>
      </c>
      <c r="B398">
        <v>200899</v>
      </c>
      <c r="C398" t="s">
        <v>133</v>
      </c>
      <c r="D398" t="s">
        <v>120</v>
      </c>
      <c r="E398" s="9">
        <v>134.85928999999999</v>
      </c>
      <c r="F398" s="10">
        <v>904839</v>
      </c>
      <c r="G398" s="11">
        <v>6.71</v>
      </c>
    </row>
    <row r="399" spans="1:7">
      <c r="A399" s="8" t="s">
        <v>13</v>
      </c>
      <c r="B399">
        <v>200899</v>
      </c>
      <c r="C399" t="s">
        <v>133</v>
      </c>
      <c r="D399" t="s">
        <v>121</v>
      </c>
      <c r="E399" s="9">
        <v>25.316020000000002</v>
      </c>
      <c r="F399" s="10">
        <v>814238</v>
      </c>
      <c r="G399" s="11">
        <v>32.159999999999997</v>
      </c>
    </row>
    <row r="400" spans="1:7">
      <c r="A400" s="8" t="s">
        <v>13</v>
      </c>
      <c r="B400">
        <v>200899</v>
      </c>
      <c r="C400" t="s">
        <v>133</v>
      </c>
      <c r="D400" t="s">
        <v>122</v>
      </c>
      <c r="E400" s="9">
        <v>449.11399999999998</v>
      </c>
      <c r="F400" s="10">
        <v>6961233</v>
      </c>
      <c r="G400" s="11">
        <v>15.5</v>
      </c>
    </row>
    <row r="401" spans="1:7">
      <c r="A401" s="8" t="s">
        <v>13</v>
      </c>
      <c r="B401">
        <v>200899</v>
      </c>
      <c r="C401" t="s">
        <v>133</v>
      </c>
      <c r="D401" t="s">
        <v>124</v>
      </c>
      <c r="E401" s="9">
        <v>53.374250000000004</v>
      </c>
      <c r="F401" s="10">
        <v>1057793</v>
      </c>
      <c r="G401" s="11">
        <v>19.82</v>
      </c>
    </row>
    <row r="402" spans="1:7">
      <c r="A402" s="8" t="s">
        <v>13</v>
      </c>
      <c r="B402">
        <v>200899</v>
      </c>
      <c r="C402" t="s">
        <v>133</v>
      </c>
      <c r="D402" t="s">
        <v>126</v>
      </c>
      <c r="E402" s="9">
        <v>13.8353</v>
      </c>
      <c r="F402" s="10">
        <v>354901</v>
      </c>
      <c r="G402" s="11">
        <v>25.65</v>
      </c>
    </row>
    <row r="403" spans="1:7">
      <c r="A403" s="8" t="s">
        <v>13</v>
      </c>
      <c r="B403">
        <v>200899</v>
      </c>
      <c r="C403" t="s">
        <v>133</v>
      </c>
      <c r="D403" t="s">
        <v>127</v>
      </c>
      <c r="E403" s="9">
        <v>56.761899999999997</v>
      </c>
      <c r="F403" s="10">
        <v>1220605</v>
      </c>
      <c r="G403" s="11">
        <v>21.5</v>
      </c>
    </row>
    <row r="404" spans="1:7">
      <c r="A404" s="8" t="s">
        <v>13</v>
      </c>
      <c r="B404">
        <v>200899</v>
      </c>
      <c r="C404" t="s">
        <v>133</v>
      </c>
      <c r="D404" t="s">
        <v>161</v>
      </c>
      <c r="E404" s="9">
        <v>0.27060000000000001</v>
      </c>
      <c r="F404" s="10">
        <v>10882</v>
      </c>
      <c r="G404" s="11">
        <v>40.21</v>
      </c>
    </row>
    <row r="405" spans="1:7">
      <c r="A405" s="8" t="s">
        <v>13</v>
      </c>
      <c r="B405">
        <v>200899</v>
      </c>
      <c r="C405" t="s">
        <v>133</v>
      </c>
      <c r="D405" t="s">
        <v>128</v>
      </c>
      <c r="E405" s="9">
        <v>0.1134</v>
      </c>
      <c r="F405" s="10">
        <v>1037</v>
      </c>
      <c r="G405" s="11">
        <v>9.14</v>
      </c>
    </row>
    <row r="406" spans="1:7">
      <c r="A406" s="8" t="s">
        <v>13</v>
      </c>
      <c r="B406">
        <v>200899</v>
      </c>
      <c r="C406" t="s">
        <v>133</v>
      </c>
      <c r="D406" t="s">
        <v>129</v>
      </c>
      <c r="E406" s="9">
        <v>504.3931</v>
      </c>
      <c r="F406" s="10">
        <v>9919322</v>
      </c>
      <c r="G406" s="11">
        <v>19.670000000000002</v>
      </c>
    </row>
    <row r="407" spans="1:7">
      <c r="A407" s="8" t="s">
        <v>13</v>
      </c>
      <c r="B407">
        <v>200899</v>
      </c>
      <c r="C407" t="s">
        <v>133</v>
      </c>
      <c r="D407" t="s">
        <v>130</v>
      </c>
      <c r="E407" s="9">
        <v>7093.585</v>
      </c>
      <c r="F407" s="10">
        <v>152610880</v>
      </c>
      <c r="G407" s="11">
        <v>21.51</v>
      </c>
    </row>
    <row r="408" spans="1:7">
      <c r="A408" s="8" t="s">
        <v>13</v>
      </c>
      <c r="B408">
        <v>200899</v>
      </c>
      <c r="C408" t="s">
        <v>133</v>
      </c>
      <c r="D408" t="s">
        <v>162</v>
      </c>
      <c r="E408" s="9">
        <v>7.8753299999999999</v>
      </c>
      <c r="F408" s="10">
        <v>30764</v>
      </c>
      <c r="G408" s="11">
        <v>3.91</v>
      </c>
    </row>
    <row r="409" spans="1:7">
      <c r="A409" s="8" t="s">
        <v>13</v>
      </c>
      <c r="B409">
        <v>200899</v>
      </c>
      <c r="C409" t="s">
        <v>133</v>
      </c>
      <c r="D409" t="s">
        <v>131</v>
      </c>
      <c r="E409" s="9">
        <v>3.01172</v>
      </c>
      <c r="F409" s="10">
        <v>79915</v>
      </c>
      <c r="G409" s="11">
        <v>26.53</v>
      </c>
    </row>
    <row r="410" spans="1:7">
      <c r="A410" s="8" t="s">
        <v>13</v>
      </c>
      <c r="B410">
        <v>200899</v>
      </c>
      <c r="C410" t="s">
        <v>133</v>
      </c>
      <c r="D410" t="s">
        <v>132</v>
      </c>
      <c r="E410" s="9">
        <v>0.89237999999999995</v>
      </c>
      <c r="F410" s="10">
        <v>30969</v>
      </c>
      <c r="G410" s="11">
        <v>34.700000000000003</v>
      </c>
    </row>
    <row r="411" spans="1:7">
      <c r="A411" s="8" t="s">
        <v>14</v>
      </c>
      <c r="B411">
        <v>121221</v>
      </c>
      <c r="C411" t="s">
        <v>40</v>
      </c>
      <c r="D411" t="s">
        <v>41</v>
      </c>
      <c r="E411" s="9">
        <v>28158.35988</v>
      </c>
      <c r="F411" s="10">
        <v>354879252</v>
      </c>
      <c r="G411" s="11">
        <v>12.6</v>
      </c>
    </row>
    <row r="412" spans="1:7">
      <c r="A412" s="8" t="s">
        <v>14</v>
      </c>
      <c r="B412">
        <v>121221</v>
      </c>
      <c r="C412" t="s">
        <v>40</v>
      </c>
      <c r="D412" t="s">
        <v>171</v>
      </c>
      <c r="E412" s="9">
        <v>9.2530000000000008E-3</v>
      </c>
      <c r="F412" s="10">
        <v>22</v>
      </c>
      <c r="G412" s="11">
        <v>2.38</v>
      </c>
    </row>
    <row r="413" spans="1:7">
      <c r="A413" s="8" t="s">
        <v>14</v>
      </c>
      <c r="B413">
        <v>121221</v>
      </c>
      <c r="C413" t="s">
        <v>40</v>
      </c>
      <c r="D413" t="s">
        <v>134</v>
      </c>
      <c r="E413" s="9">
        <v>0.52664</v>
      </c>
      <c r="F413" s="10">
        <v>3006</v>
      </c>
      <c r="G413" s="11">
        <v>5.71</v>
      </c>
    </row>
    <row r="414" spans="1:7">
      <c r="A414" s="8" t="s">
        <v>14</v>
      </c>
      <c r="B414">
        <v>121221</v>
      </c>
      <c r="C414" t="s">
        <v>40</v>
      </c>
      <c r="D414" t="s">
        <v>164</v>
      </c>
      <c r="E414" s="9">
        <v>10.414400000000001</v>
      </c>
      <c r="F414" s="10">
        <v>240357</v>
      </c>
      <c r="G414" s="11">
        <v>23.08</v>
      </c>
    </row>
    <row r="415" spans="1:7">
      <c r="A415" s="8" t="s">
        <v>14</v>
      </c>
      <c r="B415">
        <v>121221</v>
      </c>
      <c r="C415" t="s">
        <v>40</v>
      </c>
      <c r="D415" t="s">
        <v>43</v>
      </c>
      <c r="E415" s="9">
        <v>1.5905</v>
      </c>
      <c r="F415" s="10">
        <v>25287</v>
      </c>
      <c r="G415" s="11">
        <v>15.9</v>
      </c>
    </row>
    <row r="416" spans="1:7">
      <c r="A416" s="8" t="s">
        <v>14</v>
      </c>
      <c r="B416">
        <v>121221</v>
      </c>
      <c r="C416" t="s">
        <v>40</v>
      </c>
      <c r="D416" t="s">
        <v>44</v>
      </c>
      <c r="E416" s="9">
        <v>150.14223999999999</v>
      </c>
      <c r="F416" s="10">
        <v>1476298</v>
      </c>
      <c r="G416" s="11">
        <v>9.83</v>
      </c>
    </row>
    <row r="417" spans="1:7">
      <c r="A417" s="8" t="s">
        <v>14</v>
      </c>
      <c r="B417">
        <v>121221</v>
      </c>
      <c r="C417" t="s">
        <v>40</v>
      </c>
      <c r="D417" t="s">
        <v>45</v>
      </c>
      <c r="E417" s="9">
        <v>5.1189999999999998</v>
      </c>
      <c r="F417" s="10">
        <v>41172</v>
      </c>
      <c r="G417" s="11">
        <v>8.0399999999999991</v>
      </c>
    </row>
    <row r="418" spans="1:7">
      <c r="A418" s="8" t="s">
        <v>14</v>
      </c>
      <c r="B418">
        <v>121221</v>
      </c>
      <c r="C418" t="s">
        <v>40</v>
      </c>
      <c r="D418" t="s">
        <v>46</v>
      </c>
      <c r="E418" s="9">
        <v>2.1267</v>
      </c>
      <c r="F418" s="10">
        <v>61617</v>
      </c>
      <c r="G418" s="11">
        <v>28.97</v>
      </c>
    </row>
    <row r="419" spans="1:7">
      <c r="A419" s="8" t="s">
        <v>14</v>
      </c>
      <c r="B419">
        <v>121221</v>
      </c>
      <c r="C419" t="s">
        <v>40</v>
      </c>
      <c r="D419" t="s">
        <v>47</v>
      </c>
      <c r="E419" s="9">
        <v>0.20252999999999999</v>
      </c>
      <c r="F419" s="10">
        <v>3307</v>
      </c>
      <c r="G419" s="11">
        <v>16.329999999999998</v>
      </c>
    </row>
    <row r="420" spans="1:7">
      <c r="A420" s="8" t="s">
        <v>14</v>
      </c>
      <c r="B420">
        <v>121221</v>
      </c>
      <c r="C420" t="s">
        <v>40</v>
      </c>
      <c r="D420" t="s">
        <v>48</v>
      </c>
      <c r="E420" s="9">
        <v>8.4519999999999994E-3</v>
      </c>
      <c r="F420" s="10">
        <v>785</v>
      </c>
      <c r="G420" s="11">
        <v>92.88</v>
      </c>
    </row>
    <row r="421" spans="1:7">
      <c r="A421" s="8" t="s">
        <v>14</v>
      </c>
      <c r="B421">
        <v>121221</v>
      </c>
      <c r="C421" t="s">
        <v>40</v>
      </c>
      <c r="D421" t="s">
        <v>135</v>
      </c>
      <c r="E421" s="9">
        <v>1.0630000000000001E-2</v>
      </c>
      <c r="F421" s="10">
        <v>146</v>
      </c>
      <c r="G421" s="11">
        <v>13.73</v>
      </c>
    </row>
    <row r="422" spans="1:7">
      <c r="A422" s="8" t="s">
        <v>14</v>
      </c>
      <c r="B422">
        <v>121221</v>
      </c>
      <c r="C422" t="s">
        <v>40</v>
      </c>
      <c r="D422" t="s">
        <v>49</v>
      </c>
      <c r="E422" s="9">
        <v>0.246</v>
      </c>
      <c r="F422" s="10">
        <v>3749</v>
      </c>
      <c r="G422" s="11">
        <v>15.24</v>
      </c>
    </row>
    <row r="423" spans="1:7">
      <c r="A423" s="8" t="s">
        <v>14</v>
      </c>
      <c r="B423">
        <v>121221</v>
      </c>
      <c r="C423" t="s">
        <v>40</v>
      </c>
      <c r="D423" t="s">
        <v>50</v>
      </c>
      <c r="E423" s="9">
        <v>21.516850000000002</v>
      </c>
      <c r="F423" s="10">
        <v>94098</v>
      </c>
      <c r="G423" s="11">
        <v>4.37</v>
      </c>
    </row>
    <row r="424" spans="1:7">
      <c r="A424" s="8" t="s">
        <v>14</v>
      </c>
      <c r="B424">
        <v>121221</v>
      </c>
      <c r="C424" t="s">
        <v>40</v>
      </c>
      <c r="D424" t="s">
        <v>51</v>
      </c>
      <c r="E424" s="9">
        <v>0.35792000000000002</v>
      </c>
      <c r="F424" s="10">
        <v>5269</v>
      </c>
      <c r="G424" s="11">
        <v>14.72</v>
      </c>
    </row>
    <row r="425" spans="1:7">
      <c r="A425" s="8" t="s">
        <v>14</v>
      </c>
      <c r="B425">
        <v>121221</v>
      </c>
      <c r="C425" t="s">
        <v>40</v>
      </c>
      <c r="D425" t="s">
        <v>136</v>
      </c>
      <c r="E425" s="9">
        <v>2.8500000000000001E-2</v>
      </c>
      <c r="F425" s="10">
        <v>622</v>
      </c>
      <c r="G425" s="11">
        <v>21.82</v>
      </c>
    </row>
    <row r="426" spans="1:7">
      <c r="A426" s="8" t="s">
        <v>14</v>
      </c>
      <c r="B426">
        <v>121221</v>
      </c>
      <c r="C426" t="s">
        <v>40</v>
      </c>
      <c r="D426" t="s">
        <v>52</v>
      </c>
      <c r="E426" s="9">
        <v>2.8637600000000001</v>
      </c>
      <c r="F426" s="10">
        <v>82778</v>
      </c>
      <c r="G426" s="11">
        <v>28.91</v>
      </c>
    </row>
    <row r="427" spans="1:7">
      <c r="A427" s="8" t="s">
        <v>14</v>
      </c>
      <c r="B427">
        <v>121221</v>
      </c>
      <c r="C427" t="s">
        <v>40</v>
      </c>
      <c r="D427" t="s">
        <v>53</v>
      </c>
      <c r="E427" s="9">
        <v>6.0342900000000004</v>
      </c>
      <c r="F427" s="10">
        <v>63113</v>
      </c>
      <c r="G427" s="11">
        <v>10.46</v>
      </c>
    </row>
    <row r="428" spans="1:7">
      <c r="A428" s="8" t="s">
        <v>14</v>
      </c>
      <c r="B428">
        <v>121221</v>
      </c>
      <c r="C428" t="s">
        <v>40</v>
      </c>
      <c r="D428" t="s">
        <v>54</v>
      </c>
      <c r="E428" s="9">
        <v>143.13015999999999</v>
      </c>
      <c r="F428" s="10">
        <v>1119945</v>
      </c>
      <c r="G428" s="11">
        <v>7.82</v>
      </c>
    </row>
    <row r="429" spans="1:7">
      <c r="A429" s="8" t="s">
        <v>14</v>
      </c>
      <c r="B429">
        <v>121221</v>
      </c>
      <c r="C429" t="s">
        <v>40</v>
      </c>
      <c r="D429" t="s">
        <v>172</v>
      </c>
      <c r="E429" s="9">
        <v>3.6729999999999999E-2</v>
      </c>
      <c r="F429" s="10">
        <v>650</v>
      </c>
      <c r="G429" s="11">
        <v>17.7</v>
      </c>
    </row>
    <row r="430" spans="1:7">
      <c r="A430" s="8" t="s">
        <v>14</v>
      </c>
      <c r="B430">
        <v>121221</v>
      </c>
      <c r="C430" t="s">
        <v>40</v>
      </c>
      <c r="D430" t="s">
        <v>55</v>
      </c>
      <c r="E430" s="9">
        <v>1.67509</v>
      </c>
      <c r="F430" s="10">
        <v>25574</v>
      </c>
      <c r="G430" s="11">
        <v>15.27</v>
      </c>
    </row>
    <row r="431" spans="1:7">
      <c r="A431" s="8" t="s">
        <v>14</v>
      </c>
      <c r="B431">
        <v>121221</v>
      </c>
      <c r="C431" t="s">
        <v>40</v>
      </c>
      <c r="D431" t="s">
        <v>56</v>
      </c>
      <c r="E431" s="9">
        <v>5390.3954999999996</v>
      </c>
      <c r="F431" s="10">
        <v>51305916</v>
      </c>
      <c r="G431" s="11">
        <v>9.52</v>
      </c>
    </row>
    <row r="432" spans="1:7">
      <c r="A432" s="8" t="s">
        <v>14</v>
      </c>
      <c r="B432">
        <v>121221</v>
      </c>
      <c r="C432" t="s">
        <v>40</v>
      </c>
      <c r="D432" t="s">
        <v>57</v>
      </c>
      <c r="E432" s="9">
        <v>14.58328</v>
      </c>
      <c r="F432" s="10">
        <v>392354</v>
      </c>
      <c r="G432" s="11">
        <v>26.9</v>
      </c>
    </row>
    <row r="433" spans="1:7">
      <c r="A433" s="8" t="s">
        <v>14</v>
      </c>
      <c r="B433">
        <v>121221</v>
      </c>
      <c r="C433" t="s">
        <v>40</v>
      </c>
      <c r="D433" t="s">
        <v>139</v>
      </c>
      <c r="E433" s="9">
        <v>0.43506</v>
      </c>
      <c r="F433" s="10">
        <v>6192</v>
      </c>
      <c r="G433" s="11">
        <v>14.23</v>
      </c>
    </row>
    <row r="434" spans="1:7">
      <c r="A434" s="8" t="s">
        <v>14</v>
      </c>
      <c r="B434">
        <v>121221</v>
      </c>
      <c r="C434" t="s">
        <v>40</v>
      </c>
      <c r="D434" t="s">
        <v>173</v>
      </c>
      <c r="E434" s="9">
        <v>1.35E-2</v>
      </c>
      <c r="F434" s="10">
        <v>253</v>
      </c>
      <c r="G434" s="11">
        <v>18.739999999999998</v>
      </c>
    </row>
    <row r="435" spans="1:7">
      <c r="A435" s="8" t="s">
        <v>14</v>
      </c>
      <c r="B435">
        <v>121221</v>
      </c>
      <c r="C435" t="s">
        <v>40</v>
      </c>
      <c r="D435" t="s">
        <v>58</v>
      </c>
      <c r="E435" s="9">
        <v>0.12</v>
      </c>
      <c r="F435" s="10">
        <v>1250</v>
      </c>
      <c r="G435" s="11">
        <v>10.42</v>
      </c>
    </row>
    <row r="436" spans="1:7">
      <c r="A436" s="8" t="s">
        <v>14</v>
      </c>
      <c r="B436">
        <v>121221</v>
      </c>
      <c r="C436" t="s">
        <v>40</v>
      </c>
      <c r="D436" t="s">
        <v>59</v>
      </c>
      <c r="E436" s="9">
        <v>2.4590999999999998</v>
      </c>
      <c r="F436" s="10">
        <v>29164</v>
      </c>
      <c r="G436" s="11">
        <v>11.86</v>
      </c>
    </row>
    <row r="437" spans="1:7">
      <c r="A437" s="8" t="s">
        <v>14</v>
      </c>
      <c r="B437">
        <v>121221</v>
      </c>
      <c r="C437" t="s">
        <v>40</v>
      </c>
      <c r="D437" t="s">
        <v>60</v>
      </c>
      <c r="E437" s="9">
        <v>0.10625</v>
      </c>
      <c r="F437" s="10">
        <v>1745</v>
      </c>
      <c r="G437" s="11">
        <v>16.420000000000002</v>
      </c>
    </row>
    <row r="438" spans="1:7">
      <c r="A438" s="8" t="s">
        <v>14</v>
      </c>
      <c r="B438">
        <v>121221</v>
      </c>
      <c r="C438" t="s">
        <v>40</v>
      </c>
      <c r="D438" t="s">
        <v>61</v>
      </c>
      <c r="E438" s="9">
        <v>0.23400000000000001</v>
      </c>
      <c r="F438" s="10">
        <v>708</v>
      </c>
      <c r="G438" s="11">
        <v>3.03</v>
      </c>
    </row>
    <row r="439" spans="1:7">
      <c r="A439" s="8" t="s">
        <v>14</v>
      </c>
      <c r="B439">
        <v>121221</v>
      </c>
      <c r="C439" t="s">
        <v>40</v>
      </c>
      <c r="D439" t="s">
        <v>140</v>
      </c>
      <c r="E439" s="9">
        <v>0.54</v>
      </c>
      <c r="F439" s="10">
        <v>14999</v>
      </c>
      <c r="G439" s="11">
        <v>27.78</v>
      </c>
    </row>
    <row r="440" spans="1:7">
      <c r="A440" s="8" t="s">
        <v>14</v>
      </c>
      <c r="B440">
        <v>121221</v>
      </c>
      <c r="C440" t="s">
        <v>40</v>
      </c>
      <c r="D440" t="s">
        <v>63</v>
      </c>
      <c r="E440" s="9">
        <v>27.947037999999999</v>
      </c>
      <c r="F440" s="10">
        <v>521206</v>
      </c>
      <c r="G440" s="11">
        <v>18.649999999999999</v>
      </c>
    </row>
    <row r="441" spans="1:7">
      <c r="A441" s="8" t="s">
        <v>14</v>
      </c>
      <c r="B441">
        <v>121221</v>
      </c>
      <c r="C441" t="s">
        <v>40</v>
      </c>
      <c r="D441" t="s">
        <v>64</v>
      </c>
      <c r="E441" s="9">
        <v>9.3687930000000001</v>
      </c>
      <c r="F441" s="10">
        <v>81394</v>
      </c>
      <c r="G441" s="11">
        <v>8.69</v>
      </c>
    </row>
    <row r="442" spans="1:7">
      <c r="A442" s="8" t="s">
        <v>14</v>
      </c>
      <c r="B442">
        <v>121221</v>
      </c>
      <c r="C442" t="s">
        <v>40</v>
      </c>
      <c r="D442" t="s">
        <v>144</v>
      </c>
      <c r="E442" s="9">
        <v>3.7999999999999999E-2</v>
      </c>
      <c r="F442" s="10">
        <v>592</v>
      </c>
      <c r="G442" s="11">
        <v>15.58</v>
      </c>
    </row>
    <row r="443" spans="1:7">
      <c r="A443" s="8" t="s">
        <v>14</v>
      </c>
      <c r="B443">
        <v>121221</v>
      </c>
      <c r="C443" t="s">
        <v>40</v>
      </c>
      <c r="D443" t="s">
        <v>174</v>
      </c>
      <c r="E443" s="9">
        <v>4.2999999999999997E-2</v>
      </c>
      <c r="F443" s="10">
        <v>856</v>
      </c>
      <c r="G443" s="11">
        <v>19.91</v>
      </c>
    </row>
    <row r="444" spans="1:7">
      <c r="A444" s="8" t="s">
        <v>14</v>
      </c>
      <c r="B444">
        <v>121221</v>
      </c>
      <c r="C444" t="s">
        <v>40</v>
      </c>
      <c r="D444" t="s">
        <v>65</v>
      </c>
      <c r="E444" s="9">
        <v>2.7300000000000001E-2</v>
      </c>
      <c r="F444" s="10">
        <v>433</v>
      </c>
      <c r="G444" s="11">
        <v>15.86</v>
      </c>
    </row>
    <row r="445" spans="1:7">
      <c r="A445" s="8" t="s">
        <v>14</v>
      </c>
      <c r="B445">
        <v>121221</v>
      </c>
      <c r="C445" t="s">
        <v>40</v>
      </c>
      <c r="D445" t="s">
        <v>66</v>
      </c>
      <c r="E445" s="9">
        <v>5.3138300000000003</v>
      </c>
      <c r="F445" s="10">
        <v>53215</v>
      </c>
      <c r="G445" s="11">
        <v>10.01</v>
      </c>
    </row>
    <row r="446" spans="1:7">
      <c r="A446" s="8" t="s">
        <v>14</v>
      </c>
      <c r="B446">
        <v>121221</v>
      </c>
      <c r="C446" t="s">
        <v>40</v>
      </c>
      <c r="D446" t="s">
        <v>67</v>
      </c>
      <c r="E446" s="9">
        <v>0.70176000000000005</v>
      </c>
      <c r="F446" s="10">
        <v>4491</v>
      </c>
      <c r="G446" s="11">
        <v>6.4</v>
      </c>
    </row>
    <row r="447" spans="1:7">
      <c r="A447" s="8" t="s">
        <v>14</v>
      </c>
      <c r="B447">
        <v>121221</v>
      </c>
      <c r="C447" t="s">
        <v>40</v>
      </c>
      <c r="D447" t="s">
        <v>68</v>
      </c>
      <c r="E447" s="9">
        <v>6.4000000000000001E-2</v>
      </c>
      <c r="F447" s="10">
        <v>826</v>
      </c>
      <c r="G447" s="11">
        <v>12.91</v>
      </c>
    </row>
    <row r="448" spans="1:7">
      <c r="A448" s="8" t="s">
        <v>14</v>
      </c>
      <c r="B448">
        <v>121221</v>
      </c>
      <c r="C448" t="s">
        <v>40</v>
      </c>
      <c r="D448" t="s">
        <v>175</v>
      </c>
      <c r="E448" s="9">
        <v>0.35020000000000001</v>
      </c>
      <c r="F448" s="10">
        <v>5166</v>
      </c>
      <c r="G448" s="11">
        <v>14.75</v>
      </c>
    </row>
    <row r="449" spans="1:7">
      <c r="A449" s="8" t="s">
        <v>14</v>
      </c>
      <c r="B449">
        <v>121221</v>
      </c>
      <c r="C449" t="s">
        <v>40</v>
      </c>
      <c r="D449" t="s">
        <v>70</v>
      </c>
      <c r="E449" s="9">
        <v>51.069479999999999</v>
      </c>
      <c r="F449" s="10">
        <v>584225</v>
      </c>
      <c r="G449" s="11">
        <v>11.44</v>
      </c>
    </row>
    <row r="450" spans="1:7">
      <c r="A450" s="8" t="s">
        <v>14</v>
      </c>
      <c r="B450">
        <v>121221</v>
      </c>
      <c r="C450" t="s">
        <v>40</v>
      </c>
      <c r="D450" t="s">
        <v>71</v>
      </c>
      <c r="E450" s="9">
        <v>1.0419</v>
      </c>
      <c r="F450" s="10">
        <v>8432</v>
      </c>
      <c r="G450" s="11">
        <v>8.09</v>
      </c>
    </row>
    <row r="451" spans="1:7">
      <c r="A451" s="8" t="s">
        <v>14</v>
      </c>
      <c r="B451">
        <v>121221</v>
      </c>
      <c r="C451" t="s">
        <v>40</v>
      </c>
      <c r="D451" t="s">
        <v>72</v>
      </c>
      <c r="E451" s="9">
        <v>1044.2045000000001</v>
      </c>
      <c r="F451" s="10">
        <v>16725848</v>
      </c>
      <c r="G451" s="11">
        <v>16.02</v>
      </c>
    </row>
    <row r="452" spans="1:7">
      <c r="A452" s="8" t="s">
        <v>14</v>
      </c>
      <c r="B452">
        <v>121221</v>
      </c>
      <c r="C452" t="s">
        <v>40</v>
      </c>
      <c r="D452" t="s">
        <v>73</v>
      </c>
      <c r="E452" s="9">
        <v>0.71152099999999996</v>
      </c>
      <c r="F452" s="10">
        <v>19374</v>
      </c>
      <c r="G452" s="11">
        <v>27.23</v>
      </c>
    </row>
    <row r="453" spans="1:7">
      <c r="A453" s="8" t="s">
        <v>14</v>
      </c>
      <c r="B453">
        <v>121221</v>
      </c>
      <c r="C453" t="s">
        <v>40</v>
      </c>
      <c r="D453" t="s">
        <v>74</v>
      </c>
      <c r="E453" s="9">
        <v>0.20519999999999999</v>
      </c>
      <c r="F453" s="10">
        <v>4044</v>
      </c>
      <c r="G453" s="11">
        <v>19.71</v>
      </c>
    </row>
    <row r="454" spans="1:7">
      <c r="A454" s="8" t="s">
        <v>14</v>
      </c>
      <c r="B454">
        <v>121221</v>
      </c>
      <c r="C454" t="s">
        <v>40</v>
      </c>
      <c r="D454" t="s">
        <v>75</v>
      </c>
      <c r="E454" s="9">
        <v>0.48099999999999998</v>
      </c>
      <c r="F454" s="10">
        <v>17254</v>
      </c>
      <c r="G454" s="11">
        <v>35.869999999999997</v>
      </c>
    </row>
    <row r="455" spans="1:7">
      <c r="A455" s="8" t="s">
        <v>14</v>
      </c>
      <c r="B455">
        <v>121221</v>
      </c>
      <c r="C455" t="s">
        <v>40</v>
      </c>
      <c r="D455" t="s">
        <v>76</v>
      </c>
      <c r="E455" s="9">
        <v>0.17901</v>
      </c>
      <c r="F455" s="10">
        <v>3268</v>
      </c>
      <c r="G455" s="11">
        <v>18.260000000000002</v>
      </c>
    </row>
    <row r="456" spans="1:7">
      <c r="A456" s="8" t="s">
        <v>14</v>
      </c>
      <c r="B456">
        <v>121221</v>
      </c>
      <c r="C456" t="s">
        <v>40</v>
      </c>
      <c r="D456" t="s">
        <v>78</v>
      </c>
      <c r="E456" s="9">
        <v>10402.549000000001</v>
      </c>
      <c r="F456" s="10">
        <v>108166590</v>
      </c>
      <c r="G456" s="11">
        <v>10.4</v>
      </c>
    </row>
    <row r="457" spans="1:7">
      <c r="A457" s="8" t="s">
        <v>14</v>
      </c>
      <c r="B457">
        <v>121221</v>
      </c>
      <c r="C457" t="s">
        <v>40</v>
      </c>
      <c r="D457" t="s">
        <v>79</v>
      </c>
      <c r="E457" s="9">
        <v>21.64986</v>
      </c>
      <c r="F457" s="10">
        <v>419318</v>
      </c>
      <c r="G457" s="11">
        <v>19.37</v>
      </c>
    </row>
    <row r="458" spans="1:7">
      <c r="A458" s="8" t="s">
        <v>14</v>
      </c>
      <c r="B458">
        <v>121221</v>
      </c>
      <c r="C458" t="s">
        <v>40</v>
      </c>
      <c r="D458" t="s">
        <v>80</v>
      </c>
      <c r="E458" s="9">
        <v>0.114</v>
      </c>
      <c r="F458" s="10">
        <v>1493</v>
      </c>
      <c r="G458" s="11">
        <v>13.1</v>
      </c>
    </row>
    <row r="459" spans="1:7">
      <c r="A459" s="8" t="s">
        <v>14</v>
      </c>
      <c r="B459">
        <v>121221</v>
      </c>
      <c r="C459" t="s">
        <v>40</v>
      </c>
      <c r="D459" t="s">
        <v>81</v>
      </c>
      <c r="E459" s="9">
        <v>0.39396999999999999</v>
      </c>
      <c r="F459" s="10">
        <v>5563</v>
      </c>
      <c r="G459" s="11">
        <v>14.12</v>
      </c>
    </row>
    <row r="460" spans="1:7">
      <c r="A460" s="8" t="s">
        <v>14</v>
      </c>
      <c r="B460">
        <v>121221</v>
      </c>
      <c r="C460" t="s">
        <v>40</v>
      </c>
      <c r="D460" t="s">
        <v>82</v>
      </c>
      <c r="E460" s="9">
        <v>8.8499999999999995E-2</v>
      </c>
      <c r="F460" s="10">
        <v>2243</v>
      </c>
      <c r="G460" s="11">
        <v>25.34</v>
      </c>
    </row>
    <row r="461" spans="1:7">
      <c r="A461" s="8" t="s">
        <v>14</v>
      </c>
      <c r="B461">
        <v>121221</v>
      </c>
      <c r="C461" t="s">
        <v>40</v>
      </c>
      <c r="D461" t="s">
        <v>83</v>
      </c>
      <c r="E461" s="9">
        <v>1.74386</v>
      </c>
      <c r="F461" s="10">
        <v>30921</v>
      </c>
      <c r="G461" s="11">
        <v>17.73</v>
      </c>
    </row>
    <row r="462" spans="1:7">
      <c r="A462" s="8" t="s">
        <v>14</v>
      </c>
      <c r="B462">
        <v>121221</v>
      </c>
      <c r="C462" t="s">
        <v>40</v>
      </c>
      <c r="D462" t="s">
        <v>85</v>
      </c>
      <c r="E462" s="9">
        <v>0.16933000000000001</v>
      </c>
      <c r="F462" s="10">
        <v>1045</v>
      </c>
      <c r="G462" s="11">
        <v>6.17</v>
      </c>
    </row>
    <row r="463" spans="1:7">
      <c r="A463" s="8" t="s">
        <v>14</v>
      </c>
      <c r="B463">
        <v>121221</v>
      </c>
      <c r="C463" t="s">
        <v>40</v>
      </c>
      <c r="D463" t="s">
        <v>86</v>
      </c>
      <c r="E463" s="9">
        <v>128.88914</v>
      </c>
      <c r="F463" s="10">
        <v>2400449</v>
      </c>
      <c r="G463" s="11">
        <v>18.62</v>
      </c>
    </row>
    <row r="464" spans="1:7">
      <c r="A464" s="8" t="s">
        <v>14</v>
      </c>
      <c r="B464">
        <v>121221</v>
      </c>
      <c r="C464" t="s">
        <v>40</v>
      </c>
      <c r="D464" t="s">
        <v>87</v>
      </c>
      <c r="E464" s="9">
        <v>0.122</v>
      </c>
      <c r="F464" s="10">
        <v>1686</v>
      </c>
      <c r="G464" s="11">
        <v>13.82</v>
      </c>
    </row>
    <row r="465" spans="1:7">
      <c r="A465" s="8" t="s">
        <v>14</v>
      </c>
      <c r="B465">
        <v>121221</v>
      </c>
      <c r="C465" t="s">
        <v>40</v>
      </c>
      <c r="D465" t="s">
        <v>149</v>
      </c>
      <c r="E465" s="9">
        <v>1E-3</v>
      </c>
      <c r="F465" s="10">
        <v>68</v>
      </c>
      <c r="G465" s="11">
        <v>68</v>
      </c>
    </row>
    <row r="466" spans="1:7">
      <c r="A466" s="8" t="s">
        <v>14</v>
      </c>
      <c r="B466">
        <v>121221</v>
      </c>
      <c r="C466" t="s">
        <v>40</v>
      </c>
      <c r="D466" t="s">
        <v>88</v>
      </c>
      <c r="E466" s="9">
        <v>16.503132000000001</v>
      </c>
      <c r="F466" s="10">
        <v>271532</v>
      </c>
      <c r="G466" s="11">
        <v>16.45</v>
      </c>
    </row>
    <row r="467" spans="1:7">
      <c r="A467" s="8" t="s">
        <v>14</v>
      </c>
      <c r="B467">
        <v>121221</v>
      </c>
      <c r="C467" t="s">
        <v>40</v>
      </c>
      <c r="D467" t="s">
        <v>168</v>
      </c>
      <c r="E467" s="9">
        <v>1.0630000000000001E-2</v>
      </c>
      <c r="F467" s="10">
        <v>160</v>
      </c>
      <c r="G467" s="11">
        <v>15.05</v>
      </c>
    </row>
    <row r="468" spans="1:7">
      <c r="A468" s="8" t="s">
        <v>14</v>
      </c>
      <c r="B468">
        <v>121221</v>
      </c>
      <c r="C468" t="s">
        <v>40</v>
      </c>
      <c r="D468" t="s">
        <v>90</v>
      </c>
      <c r="E468" s="9">
        <v>175.12020999999999</v>
      </c>
      <c r="F468" s="10">
        <v>3587288</v>
      </c>
      <c r="G468" s="11">
        <v>20.48</v>
      </c>
    </row>
    <row r="469" spans="1:7">
      <c r="A469" s="8" t="s">
        <v>14</v>
      </c>
      <c r="B469">
        <v>121221</v>
      </c>
      <c r="C469" t="s">
        <v>40</v>
      </c>
      <c r="D469" t="s">
        <v>91</v>
      </c>
      <c r="E469" s="9">
        <v>1006.0957</v>
      </c>
      <c r="F469" s="10">
        <v>20295637</v>
      </c>
      <c r="G469" s="11">
        <v>20.170000000000002</v>
      </c>
    </row>
    <row r="470" spans="1:7">
      <c r="A470" s="8" t="s">
        <v>14</v>
      </c>
      <c r="B470">
        <v>121221</v>
      </c>
      <c r="C470" t="s">
        <v>40</v>
      </c>
      <c r="D470" t="s">
        <v>92</v>
      </c>
      <c r="E470" s="9">
        <v>44.62359</v>
      </c>
      <c r="F470" s="10">
        <v>587277</v>
      </c>
      <c r="G470" s="11">
        <v>13.16</v>
      </c>
    </row>
    <row r="471" spans="1:7">
      <c r="A471" s="8" t="s">
        <v>14</v>
      </c>
      <c r="B471">
        <v>121221</v>
      </c>
      <c r="C471" t="s">
        <v>40</v>
      </c>
      <c r="D471" t="s">
        <v>94</v>
      </c>
      <c r="E471" s="9">
        <v>0.24784</v>
      </c>
      <c r="F471" s="10">
        <v>5094</v>
      </c>
      <c r="G471" s="11">
        <v>20.55</v>
      </c>
    </row>
    <row r="472" spans="1:7">
      <c r="A472" s="8" t="s">
        <v>14</v>
      </c>
      <c r="B472">
        <v>121221</v>
      </c>
      <c r="C472" t="s">
        <v>40</v>
      </c>
      <c r="D472" t="s">
        <v>169</v>
      </c>
      <c r="E472" s="9">
        <v>0.04</v>
      </c>
      <c r="F472" s="10">
        <v>277</v>
      </c>
      <c r="G472" s="11">
        <v>6.93</v>
      </c>
    </row>
    <row r="473" spans="1:7">
      <c r="A473" s="8" t="s">
        <v>14</v>
      </c>
      <c r="B473">
        <v>121221</v>
      </c>
      <c r="C473" t="s">
        <v>40</v>
      </c>
      <c r="D473" t="s">
        <v>152</v>
      </c>
      <c r="E473" s="9">
        <v>0.20075000000000001</v>
      </c>
      <c r="F473" s="10">
        <v>4596</v>
      </c>
      <c r="G473" s="11">
        <v>22.89</v>
      </c>
    </row>
    <row r="474" spans="1:7">
      <c r="A474" s="8" t="s">
        <v>14</v>
      </c>
      <c r="B474">
        <v>121221</v>
      </c>
      <c r="C474" t="s">
        <v>40</v>
      </c>
      <c r="D474" t="s">
        <v>95</v>
      </c>
      <c r="E474" s="9">
        <v>51.739429999999999</v>
      </c>
      <c r="F474" s="10">
        <v>806610</v>
      </c>
      <c r="G474" s="11">
        <v>15.59</v>
      </c>
    </row>
    <row r="475" spans="1:7">
      <c r="A475" s="8" t="s">
        <v>14</v>
      </c>
      <c r="B475">
        <v>121221</v>
      </c>
      <c r="C475" t="s">
        <v>40</v>
      </c>
      <c r="D475" t="s">
        <v>153</v>
      </c>
      <c r="E475" s="9">
        <v>7.0000000000000007E-2</v>
      </c>
      <c r="F475" s="10">
        <v>387</v>
      </c>
      <c r="G475" s="11">
        <v>5.53</v>
      </c>
    </row>
    <row r="476" spans="1:7">
      <c r="A476" s="8" t="s">
        <v>14</v>
      </c>
      <c r="B476">
        <v>121221</v>
      </c>
      <c r="C476" t="s">
        <v>40</v>
      </c>
      <c r="D476" t="s">
        <v>97</v>
      </c>
      <c r="E476" s="9">
        <v>37.159768999999997</v>
      </c>
      <c r="F476" s="10">
        <v>256319</v>
      </c>
      <c r="G476" s="11">
        <v>6.9</v>
      </c>
    </row>
    <row r="477" spans="1:7">
      <c r="A477" s="8" t="s">
        <v>14</v>
      </c>
      <c r="B477">
        <v>121221</v>
      </c>
      <c r="C477" t="s">
        <v>40</v>
      </c>
      <c r="D477" t="s">
        <v>154</v>
      </c>
      <c r="E477" s="9">
        <v>3.15E-2</v>
      </c>
      <c r="F477" s="10">
        <v>286</v>
      </c>
      <c r="G477" s="11">
        <v>9.08</v>
      </c>
    </row>
    <row r="478" spans="1:7">
      <c r="A478" s="8" t="s">
        <v>14</v>
      </c>
      <c r="B478">
        <v>121221</v>
      </c>
      <c r="C478" t="s">
        <v>40</v>
      </c>
      <c r="D478" t="s">
        <v>98</v>
      </c>
      <c r="E478" s="9">
        <v>2.8169689999999998</v>
      </c>
      <c r="F478" s="10">
        <v>19625</v>
      </c>
      <c r="G478" s="11">
        <v>6.97</v>
      </c>
    </row>
    <row r="479" spans="1:7">
      <c r="A479" s="8" t="s">
        <v>14</v>
      </c>
      <c r="B479">
        <v>121221</v>
      </c>
      <c r="C479" t="s">
        <v>40</v>
      </c>
      <c r="D479" t="s">
        <v>99</v>
      </c>
      <c r="E479" s="9">
        <v>1.28454</v>
      </c>
      <c r="F479" s="10">
        <v>111944</v>
      </c>
      <c r="G479" s="11">
        <v>87.15</v>
      </c>
    </row>
    <row r="480" spans="1:7">
      <c r="A480" s="8" t="s">
        <v>14</v>
      </c>
      <c r="B480">
        <v>121221</v>
      </c>
      <c r="C480" t="s">
        <v>40</v>
      </c>
      <c r="D480" t="s">
        <v>100</v>
      </c>
      <c r="E480" s="9">
        <v>1.8965000000000001</v>
      </c>
      <c r="F480" s="10">
        <v>12097</v>
      </c>
      <c r="G480" s="11">
        <v>6.38</v>
      </c>
    </row>
    <row r="481" spans="1:7">
      <c r="A481" s="8" t="s">
        <v>14</v>
      </c>
      <c r="B481">
        <v>121221</v>
      </c>
      <c r="C481" t="s">
        <v>40</v>
      </c>
      <c r="D481" t="s">
        <v>155</v>
      </c>
      <c r="E481" s="9">
        <v>1.8000000000000001E-4</v>
      </c>
      <c r="F481" s="10">
        <v>11</v>
      </c>
      <c r="G481" s="11">
        <v>61.11</v>
      </c>
    </row>
    <row r="482" spans="1:7">
      <c r="A482" s="8" t="s">
        <v>14</v>
      </c>
      <c r="B482">
        <v>121221</v>
      </c>
      <c r="C482" t="s">
        <v>40</v>
      </c>
      <c r="D482" t="s">
        <v>101</v>
      </c>
      <c r="E482" s="9">
        <v>0.02</v>
      </c>
      <c r="F482" s="10">
        <v>463</v>
      </c>
      <c r="G482" s="11">
        <v>23.15</v>
      </c>
    </row>
    <row r="483" spans="1:7">
      <c r="A483" s="8" t="s">
        <v>14</v>
      </c>
      <c r="B483">
        <v>121221</v>
      </c>
      <c r="C483" t="s">
        <v>40</v>
      </c>
      <c r="D483" t="s">
        <v>102</v>
      </c>
      <c r="E483" s="9">
        <v>1.0800000000000001E-2</v>
      </c>
      <c r="F483" s="10">
        <v>182</v>
      </c>
      <c r="G483" s="11">
        <v>16.850000000000001</v>
      </c>
    </row>
    <row r="484" spans="1:7">
      <c r="A484" s="8" t="s">
        <v>14</v>
      </c>
      <c r="B484">
        <v>121221</v>
      </c>
      <c r="C484" t="s">
        <v>40</v>
      </c>
      <c r="D484" t="s">
        <v>103</v>
      </c>
      <c r="E484" s="9">
        <v>0.38616</v>
      </c>
      <c r="F484" s="10">
        <v>11794</v>
      </c>
      <c r="G484" s="11">
        <v>30.54</v>
      </c>
    </row>
    <row r="485" spans="1:7">
      <c r="A485" s="8" t="s">
        <v>14</v>
      </c>
      <c r="B485">
        <v>121221</v>
      </c>
      <c r="C485" t="s">
        <v>40</v>
      </c>
      <c r="D485" t="s">
        <v>104</v>
      </c>
      <c r="E485" s="9">
        <v>0.21110000000000001</v>
      </c>
      <c r="F485" s="10">
        <v>4523</v>
      </c>
      <c r="G485" s="11">
        <v>21.43</v>
      </c>
    </row>
    <row r="486" spans="1:7">
      <c r="A486" s="8" t="s">
        <v>14</v>
      </c>
      <c r="B486">
        <v>121221</v>
      </c>
      <c r="C486" t="s">
        <v>40</v>
      </c>
      <c r="D486" t="s">
        <v>105</v>
      </c>
      <c r="E486" s="9">
        <v>21.020099999999999</v>
      </c>
      <c r="F486" s="10">
        <v>81920</v>
      </c>
      <c r="G486" s="11">
        <v>3.9</v>
      </c>
    </row>
    <row r="487" spans="1:7">
      <c r="A487" s="8" t="s">
        <v>14</v>
      </c>
      <c r="B487">
        <v>121221</v>
      </c>
      <c r="C487" t="s">
        <v>40</v>
      </c>
      <c r="D487" t="s">
        <v>106</v>
      </c>
      <c r="E487" s="9">
        <v>145.87237999999999</v>
      </c>
      <c r="F487" s="10">
        <v>1256871</v>
      </c>
      <c r="G487" s="11">
        <v>8.6199999999999992</v>
      </c>
    </row>
    <row r="488" spans="1:7">
      <c r="A488" s="8" t="s">
        <v>14</v>
      </c>
      <c r="B488">
        <v>121221</v>
      </c>
      <c r="C488" t="s">
        <v>40</v>
      </c>
      <c r="D488" t="s">
        <v>107</v>
      </c>
      <c r="E488" s="9">
        <v>18.304739999999999</v>
      </c>
      <c r="F488" s="10">
        <v>295838</v>
      </c>
      <c r="G488" s="11">
        <v>16.16</v>
      </c>
    </row>
    <row r="489" spans="1:7">
      <c r="A489" s="8" t="s">
        <v>14</v>
      </c>
      <c r="B489">
        <v>121221</v>
      </c>
      <c r="C489" t="s">
        <v>40</v>
      </c>
      <c r="D489" t="s">
        <v>108</v>
      </c>
      <c r="E489" s="9">
        <v>0.71784999999999999</v>
      </c>
      <c r="F489" s="10">
        <v>13522</v>
      </c>
      <c r="G489" s="11">
        <v>18.84</v>
      </c>
    </row>
    <row r="490" spans="1:7">
      <c r="A490" s="8" t="s">
        <v>14</v>
      </c>
      <c r="B490">
        <v>121221</v>
      </c>
      <c r="C490" t="s">
        <v>40</v>
      </c>
      <c r="D490" t="s">
        <v>158</v>
      </c>
      <c r="E490" s="9">
        <v>0.121</v>
      </c>
      <c r="F490" s="10">
        <v>2332</v>
      </c>
      <c r="G490" s="11">
        <v>19.27</v>
      </c>
    </row>
    <row r="491" spans="1:7">
      <c r="A491" s="8" t="s">
        <v>14</v>
      </c>
      <c r="B491">
        <v>121221</v>
      </c>
      <c r="C491" t="s">
        <v>40</v>
      </c>
      <c r="D491" t="s">
        <v>109</v>
      </c>
      <c r="E491" s="9">
        <v>1955.9090000000001</v>
      </c>
      <c r="F491" s="10">
        <v>44263053</v>
      </c>
      <c r="G491" s="11">
        <v>22.63</v>
      </c>
    </row>
    <row r="492" spans="1:7">
      <c r="A492" s="8" t="s">
        <v>14</v>
      </c>
      <c r="B492">
        <v>121221</v>
      </c>
      <c r="C492" t="s">
        <v>40</v>
      </c>
      <c r="D492" t="s">
        <v>176</v>
      </c>
      <c r="E492" s="9">
        <v>0.15</v>
      </c>
      <c r="F492" s="10">
        <v>30</v>
      </c>
      <c r="G492" s="11">
        <v>0.2</v>
      </c>
    </row>
    <row r="493" spans="1:7">
      <c r="A493" s="8" t="s">
        <v>14</v>
      </c>
      <c r="B493">
        <v>121221</v>
      </c>
      <c r="C493" t="s">
        <v>40</v>
      </c>
      <c r="D493" t="s">
        <v>110</v>
      </c>
      <c r="E493" s="9">
        <v>2.5549400000000002</v>
      </c>
      <c r="F493" s="10">
        <v>40918</v>
      </c>
      <c r="G493" s="11">
        <v>16.02</v>
      </c>
    </row>
    <row r="494" spans="1:7">
      <c r="A494" s="8" t="s">
        <v>14</v>
      </c>
      <c r="B494">
        <v>121221</v>
      </c>
      <c r="C494" t="s">
        <v>40</v>
      </c>
      <c r="D494" t="s">
        <v>112</v>
      </c>
      <c r="E494" s="9">
        <v>0.21</v>
      </c>
      <c r="F494" s="10">
        <v>2361</v>
      </c>
      <c r="G494" s="11">
        <v>11.24</v>
      </c>
    </row>
    <row r="495" spans="1:7">
      <c r="A495" s="8" t="s">
        <v>14</v>
      </c>
      <c r="B495">
        <v>121221</v>
      </c>
      <c r="C495" t="s">
        <v>40</v>
      </c>
      <c r="D495" t="s">
        <v>113</v>
      </c>
      <c r="E495" s="9">
        <v>1.9867999999999999</v>
      </c>
      <c r="F495" s="10">
        <v>33985</v>
      </c>
      <c r="G495" s="11">
        <v>17.11</v>
      </c>
    </row>
    <row r="496" spans="1:7">
      <c r="A496" s="8" t="s">
        <v>14</v>
      </c>
      <c r="B496">
        <v>121221</v>
      </c>
      <c r="C496" t="s">
        <v>40</v>
      </c>
      <c r="D496" t="s">
        <v>114</v>
      </c>
      <c r="E496" s="9">
        <v>108.986231</v>
      </c>
      <c r="F496" s="10">
        <v>2063998</v>
      </c>
      <c r="G496" s="11">
        <v>18.940000000000001</v>
      </c>
    </row>
    <row r="497" spans="1:7">
      <c r="A497" s="8" t="s">
        <v>14</v>
      </c>
      <c r="B497">
        <v>121221</v>
      </c>
      <c r="C497" t="s">
        <v>40</v>
      </c>
      <c r="D497" t="s">
        <v>116</v>
      </c>
      <c r="E497" s="9">
        <v>817.89380000000006</v>
      </c>
      <c r="F497" s="10">
        <v>11763776</v>
      </c>
      <c r="G497" s="11">
        <v>14.38</v>
      </c>
    </row>
    <row r="498" spans="1:7">
      <c r="A498" s="8" t="s">
        <v>14</v>
      </c>
      <c r="B498">
        <v>121221</v>
      </c>
      <c r="C498" t="s">
        <v>40</v>
      </c>
      <c r="D498" t="s">
        <v>117</v>
      </c>
      <c r="E498" s="9">
        <v>2.9610400000000001</v>
      </c>
      <c r="F498" s="10">
        <v>78040</v>
      </c>
      <c r="G498" s="11">
        <v>26.36</v>
      </c>
    </row>
    <row r="499" spans="1:7">
      <c r="A499" s="8" t="s">
        <v>14</v>
      </c>
      <c r="B499">
        <v>121221</v>
      </c>
      <c r="C499" t="s">
        <v>40</v>
      </c>
      <c r="D499" t="s">
        <v>118</v>
      </c>
      <c r="E499" s="9">
        <v>0.72650000000000003</v>
      </c>
      <c r="F499" s="10">
        <v>4255</v>
      </c>
      <c r="G499" s="11">
        <v>5.86</v>
      </c>
    </row>
    <row r="500" spans="1:7">
      <c r="A500" s="8" t="s">
        <v>14</v>
      </c>
      <c r="B500">
        <v>121221</v>
      </c>
      <c r="C500" t="s">
        <v>40</v>
      </c>
      <c r="D500" t="s">
        <v>119</v>
      </c>
      <c r="E500" s="9">
        <v>2.0382199999999999</v>
      </c>
      <c r="F500" s="10">
        <v>48638</v>
      </c>
      <c r="G500" s="11">
        <v>23.86</v>
      </c>
    </row>
    <row r="501" spans="1:7">
      <c r="A501" s="8" t="s">
        <v>14</v>
      </c>
      <c r="B501">
        <v>121221</v>
      </c>
      <c r="C501" t="s">
        <v>40</v>
      </c>
      <c r="D501" t="s">
        <v>120</v>
      </c>
      <c r="E501" s="9">
        <v>0.35986000000000001</v>
      </c>
      <c r="F501" s="10">
        <v>6861</v>
      </c>
      <c r="G501" s="11">
        <v>19.07</v>
      </c>
    </row>
    <row r="502" spans="1:7">
      <c r="A502" s="8" t="s">
        <v>14</v>
      </c>
      <c r="B502">
        <v>121221</v>
      </c>
      <c r="C502" t="s">
        <v>40</v>
      </c>
      <c r="D502" t="s">
        <v>121</v>
      </c>
      <c r="E502" s="9">
        <v>1.8749999999999999E-2</v>
      </c>
      <c r="F502" s="10">
        <v>1181</v>
      </c>
      <c r="G502" s="11">
        <v>62.99</v>
      </c>
    </row>
    <row r="503" spans="1:7">
      <c r="A503" s="8" t="s">
        <v>14</v>
      </c>
      <c r="B503">
        <v>121221</v>
      </c>
      <c r="C503" t="s">
        <v>40</v>
      </c>
      <c r="D503" t="s">
        <v>122</v>
      </c>
      <c r="E503" s="9">
        <v>4229.4539999999997</v>
      </c>
      <c r="F503" s="10">
        <v>62304048</v>
      </c>
      <c r="G503" s="11">
        <v>14.73</v>
      </c>
    </row>
    <row r="504" spans="1:7">
      <c r="A504" s="8" t="s">
        <v>14</v>
      </c>
      <c r="B504">
        <v>121221</v>
      </c>
      <c r="C504" t="s">
        <v>40</v>
      </c>
      <c r="D504" t="s">
        <v>177</v>
      </c>
      <c r="E504" s="9">
        <v>0.03</v>
      </c>
      <c r="F504" s="10">
        <v>760</v>
      </c>
      <c r="G504" s="11">
        <v>25.33</v>
      </c>
    </row>
    <row r="505" spans="1:7">
      <c r="A505" s="8" t="s">
        <v>14</v>
      </c>
      <c r="B505">
        <v>121221</v>
      </c>
      <c r="C505" t="s">
        <v>40</v>
      </c>
      <c r="D505" t="s">
        <v>124</v>
      </c>
      <c r="E505" s="9">
        <v>9.3855500000000003</v>
      </c>
      <c r="F505" s="10">
        <v>168839</v>
      </c>
      <c r="G505" s="11">
        <v>17.989999999999998</v>
      </c>
    </row>
    <row r="506" spans="1:7">
      <c r="A506" s="8" t="s">
        <v>14</v>
      </c>
      <c r="B506">
        <v>121221</v>
      </c>
      <c r="C506" t="s">
        <v>40</v>
      </c>
      <c r="D506" t="s">
        <v>126</v>
      </c>
      <c r="E506" s="9">
        <v>38.1325</v>
      </c>
      <c r="F506" s="10">
        <v>812081</v>
      </c>
      <c r="G506" s="11">
        <v>21.3</v>
      </c>
    </row>
    <row r="507" spans="1:7">
      <c r="A507" s="8" t="s">
        <v>14</v>
      </c>
      <c r="B507">
        <v>121221</v>
      </c>
      <c r="C507" t="s">
        <v>40</v>
      </c>
      <c r="D507" t="s">
        <v>127</v>
      </c>
      <c r="E507" s="9">
        <v>3.87215</v>
      </c>
      <c r="F507" s="10">
        <v>96850</v>
      </c>
      <c r="G507" s="11">
        <v>25.01</v>
      </c>
    </row>
    <row r="508" spans="1:7">
      <c r="A508" s="8" t="s">
        <v>14</v>
      </c>
      <c r="B508">
        <v>121221</v>
      </c>
      <c r="C508" t="s">
        <v>40</v>
      </c>
      <c r="D508" t="s">
        <v>129</v>
      </c>
      <c r="E508" s="9">
        <v>41.15934</v>
      </c>
      <c r="F508" s="10">
        <v>577343</v>
      </c>
      <c r="G508" s="11">
        <v>14.03</v>
      </c>
    </row>
    <row r="509" spans="1:7">
      <c r="A509" s="8" t="s">
        <v>14</v>
      </c>
      <c r="B509">
        <v>121221</v>
      </c>
      <c r="C509" t="s">
        <v>40</v>
      </c>
      <c r="D509" t="s">
        <v>178</v>
      </c>
      <c r="E509" s="9">
        <v>0.26738899999999999</v>
      </c>
      <c r="F509" s="10">
        <v>1025</v>
      </c>
      <c r="G509" s="11">
        <v>3.83</v>
      </c>
    </row>
    <row r="510" spans="1:7">
      <c r="A510" s="8" t="s">
        <v>14</v>
      </c>
      <c r="B510">
        <v>121221</v>
      </c>
      <c r="C510" t="s">
        <v>40</v>
      </c>
      <c r="D510" t="s">
        <v>130</v>
      </c>
      <c r="E510" s="9">
        <v>1963.77</v>
      </c>
      <c r="F510" s="10">
        <v>20903199</v>
      </c>
      <c r="G510" s="11">
        <v>10.64</v>
      </c>
    </row>
    <row r="511" spans="1:7">
      <c r="A511" s="8" t="s">
        <v>14</v>
      </c>
      <c r="B511">
        <v>121221</v>
      </c>
      <c r="C511" t="s">
        <v>40</v>
      </c>
      <c r="D511" t="s">
        <v>131</v>
      </c>
      <c r="E511" s="9">
        <v>1.4998</v>
      </c>
      <c r="F511" s="10">
        <v>18653</v>
      </c>
      <c r="G511" s="11">
        <v>12.44</v>
      </c>
    </row>
    <row r="512" spans="1:7">
      <c r="A512" s="8" t="s">
        <v>14</v>
      </c>
      <c r="B512">
        <v>121221</v>
      </c>
      <c r="C512" t="s">
        <v>40</v>
      </c>
      <c r="D512" t="s">
        <v>132</v>
      </c>
      <c r="E512" s="9">
        <v>9.5610000000000001E-2</v>
      </c>
      <c r="F512" s="10">
        <v>2397</v>
      </c>
      <c r="G512" s="11">
        <v>25.07</v>
      </c>
    </row>
    <row r="513" spans="1:7">
      <c r="A513" s="8" t="s">
        <v>14</v>
      </c>
      <c r="B513">
        <v>200899</v>
      </c>
      <c r="C513" t="s">
        <v>133</v>
      </c>
      <c r="D513" t="s">
        <v>41</v>
      </c>
      <c r="E513" s="9">
        <v>26734.179789999998</v>
      </c>
      <c r="F513" s="10">
        <v>547146589</v>
      </c>
      <c r="G513" s="11">
        <v>20.47</v>
      </c>
    </row>
    <row r="514" spans="1:7">
      <c r="A514" s="8" t="s">
        <v>14</v>
      </c>
      <c r="B514">
        <v>200899</v>
      </c>
      <c r="C514" t="s">
        <v>133</v>
      </c>
      <c r="D514" t="s">
        <v>171</v>
      </c>
      <c r="E514" s="9">
        <v>1.7197E-2</v>
      </c>
      <c r="F514" s="10">
        <v>476</v>
      </c>
      <c r="G514" s="11">
        <v>27.68</v>
      </c>
    </row>
    <row r="515" spans="1:7">
      <c r="A515" s="8" t="s">
        <v>14</v>
      </c>
      <c r="B515">
        <v>200899</v>
      </c>
      <c r="C515" t="s">
        <v>133</v>
      </c>
      <c r="D515" t="s">
        <v>134</v>
      </c>
      <c r="E515" s="9">
        <v>0.73260599999999998</v>
      </c>
      <c r="F515" s="10">
        <v>4181</v>
      </c>
      <c r="G515" s="11">
        <v>5.71</v>
      </c>
    </row>
    <row r="516" spans="1:7">
      <c r="A516" s="8" t="s">
        <v>14</v>
      </c>
      <c r="B516">
        <v>200899</v>
      </c>
      <c r="C516" t="s">
        <v>133</v>
      </c>
      <c r="D516" t="s">
        <v>42</v>
      </c>
      <c r="E516" s="9">
        <v>0.79239999999999999</v>
      </c>
      <c r="F516" s="10">
        <v>21916</v>
      </c>
      <c r="G516" s="11">
        <v>27.66</v>
      </c>
    </row>
    <row r="517" spans="1:7">
      <c r="A517" s="8" t="s">
        <v>14</v>
      </c>
      <c r="B517">
        <v>200899</v>
      </c>
      <c r="C517" t="s">
        <v>133</v>
      </c>
      <c r="D517" t="s">
        <v>164</v>
      </c>
      <c r="E517" s="9">
        <v>0.10202</v>
      </c>
      <c r="F517" s="10">
        <v>4583</v>
      </c>
      <c r="G517" s="11">
        <v>44.92</v>
      </c>
    </row>
    <row r="518" spans="1:7">
      <c r="A518" s="8" t="s">
        <v>14</v>
      </c>
      <c r="B518">
        <v>200899</v>
      </c>
      <c r="C518" t="s">
        <v>133</v>
      </c>
      <c r="D518" t="s">
        <v>43</v>
      </c>
      <c r="E518" s="9">
        <v>1.57694</v>
      </c>
      <c r="F518" s="10">
        <v>68617</v>
      </c>
      <c r="G518" s="11">
        <v>43.51</v>
      </c>
    </row>
    <row r="519" spans="1:7">
      <c r="A519" s="8" t="s">
        <v>14</v>
      </c>
      <c r="B519">
        <v>200899</v>
      </c>
      <c r="C519" t="s">
        <v>133</v>
      </c>
      <c r="D519" t="s">
        <v>44</v>
      </c>
      <c r="E519" s="9">
        <v>911.28779999999995</v>
      </c>
      <c r="F519" s="10">
        <v>20033464</v>
      </c>
      <c r="G519" s="11">
        <v>21.98</v>
      </c>
    </row>
    <row r="520" spans="1:7">
      <c r="A520" s="8" t="s">
        <v>14</v>
      </c>
      <c r="B520">
        <v>200899</v>
      </c>
      <c r="C520" t="s">
        <v>133</v>
      </c>
      <c r="D520" t="s">
        <v>45</v>
      </c>
      <c r="E520" s="9">
        <v>15.23991</v>
      </c>
      <c r="F520" s="10">
        <v>217951</v>
      </c>
      <c r="G520" s="11">
        <v>14.3</v>
      </c>
    </row>
    <row r="521" spans="1:7">
      <c r="A521" s="8" t="s">
        <v>14</v>
      </c>
      <c r="B521">
        <v>200899</v>
      </c>
      <c r="C521" t="s">
        <v>133</v>
      </c>
      <c r="D521" t="s">
        <v>46</v>
      </c>
      <c r="E521" s="9">
        <v>0.45382</v>
      </c>
      <c r="F521" s="10">
        <v>19545</v>
      </c>
      <c r="G521" s="11">
        <v>43.07</v>
      </c>
    </row>
    <row r="522" spans="1:7">
      <c r="A522" s="8" t="s">
        <v>14</v>
      </c>
      <c r="B522">
        <v>200899</v>
      </c>
      <c r="C522" t="s">
        <v>133</v>
      </c>
      <c r="D522" t="s">
        <v>47</v>
      </c>
      <c r="E522" s="9">
        <v>0.78749999999999998</v>
      </c>
      <c r="F522" s="10">
        <v>21240</v>
      </c>
      <c r="G522" s="11">
        <v>26.97</v>
      </c>
    </row>
    <row r="523" spans="1:7">
      <c r="A523" s="8" t="s">
        <v>14</v>
      </c>
      <c r="B523">
        <v>200899</v>
      </c>
      <c r="C523" t="s">
        <v>133</v>
      </c>
      <c r="D523" t="s">
        <v>48</v>
      </c>
      <c r="E523" s="9">
        <v>439.15978000000001</v>
      </c>
      <c r="F523" s="10">
        <v>1538248</v>
      </c>
      <c r="G523" s="11">
        <v>3.5</v>
      </c>
    </row>
    <row r="524" spans="1:7">
      <c r="A524" s="8" t="s">
        <v>14</v>
      </c>
      <c r="B524">
        <v>200899</v>
      </c>
      <c r="C524" t="s">
        <v>133</v>
      </c>
      <c r="D524" t="s">
        <v>135</v>
      </c>
      <c r="E524" s="9">
        <v>0.58399999999999996</v>
      </c>
      <c r="F524" s="10">
        <v>20256</v>
      </c>
      <c r="G524" s="11">
        <v>34.68</v>
      </c>
    </row>
    <row r="525" spans="1:7">
      <c r="A525" s="8" t="s">
        <v>14</v>
      </c>
      <c r="B525">
        <v>200899</v>
      </c>
      <c r="C525" t="s">
        <v>133</v>
      </c>
      <c r="D525" t="s">
        <v>49</v>
      </c>
      <c r="E525" s="9">
        <v>3.4436599999999999</v>
      </c>
      <c r="F525" s="10">
        <v>94023</v>
      </c>
      <c r="G525" s="11">
        <v>27.3</v>
      </c>
    </row>
    <row r="526" spans="1:7">
      <c r="A526" s="8" t="s">
        <v>14</v>
      </c>
      <c r="B526">
        <v>200899</v>
      </c>
      <c r="C526" t="s">
        <v>133</v>
      </c>
      <c r="D526" t="s">
        <v>167</v>
      </c>
      <c r="E526" s="9">
        <v>0.19320000000000001</v>
      </c>
      <c r="F526" s="10">
        <v>5232</v>
      </c>
      <c r="G526" s="11">
        <v>27.08</v>
      </c>
    </row>
    <row r="527" spans="1:7">
      <c r="A527" s="8" t="s">
        <v>14</v>
      </c>
      <c r="B527">
        <v>200899</v>
      </c>
      <c r="C527" t="s">
        <v>133</v>
      </c>
      <c r="D527" t="s">
        <v>50</v>
      </c>
      <c r="E527" s="9">
        <v>266.41663999999997</v>
      </c>
      <c r="F527" s="10">
        <v>5439660</v>
      </c>
      <c r="G527" s="11">
        <v>20.420000000000002</v>
      </c>
    </row>
    <row r="528" spans="1:7">
      <c r="A528" s="8" t="s">
        <v>14</v>
      </c>
      <c r="B528">
        <v>200899</v>
      </c>
      <c r="C528" t="s">
        <v>133</v>
      </c>
      <c r="D528" t="s">
        <v>179</v>
      </c>
      <c r="E528" s="9">
        <v>6.7099999999999998E-3</v>
      </c>
      <c r="F528" s="10">
        <v>170</v>
      </c>
      <c r="G528" s="11">
        <v>25.34</v>
      </c>
    </row>
    <row r="529" spans="1:7">
      <c r="A529" s="8" t="s">
        <v>14</v>
      </c>
      <c r="B529">
        <v>200899</v>
      </c>
      <c r="C529" t="s">
        <v>133</v>
      </c>
      <c r="D529" t="s">
        <v>51</v>
      </c>
      <c r="E529" s="9">
        <v>5.1699200000000003</v>
      </c>
      <c r="F529" s="10">
        <v>73369</v>
      </c>
      <c r="G529" s="11">
        <v>14.19</v>
      </c>
    </row>
    <row r="530" spans="1:7">
      <c r="A530" s="8" t="s">
        <v>14</v>
      </c>
      <c r="B530">
        <v>200899</v>
      </c>
      <c r="C530" t="s">
        <v>133</v>
      </c>
      <c r="D530" t="s">
        <v>136</v>
      </c>
      <c r="E530" s="9">
        <v>6.5759800000000004</v>
      </c>
      <c r="F530" s="10">
        <v>166554</v>
      </c>
      <c r="G530" s="11">
        <v>25.33</v>
      </c>
    </row>
    <row r="531" spans="1:7">
      <c r="A531" s="8" t="s">
        <v>14</v>
      </c>
      <c r="B531">
        <v>200899</v>
      </c>
      <c r="C531" t="s">
        <v>133</v>
      </c>
      <c r="D531" t="s">
        <v>52</v>
      </c>
      <c r="E531" s="9">
        <v>10.274240000000001</v>
      </c>
      <c r="F531" s="10">
        <v>291099</v>
      </c>
      <c r="G531" s="11">
        <v>28.33</v>
      </c>
    </row>
    <row r="532" spans="1:7">
      <c r="A532" s="8" t="s">
        <v>14</v>
      </c>
      <c r="B532">
        <v>200899</v>
      </c>
      <c r="C532" t="s">
        <v>133</v>
      </c>
      <c r="D532" t="s">
        <v>180</v>
      </c>
      <c r="E532" s="9">
        <v>7.2999999999999995E-2</v>
      </c>
      <c r="F532" s="10">
        <v>104</v>
      </c>
      <c r="G532" s="11">
        <v>1.42</v>
      </c>
    </row>
    <row r="533" spans="1:7">
      <c r="A533" s="8" t="s">
        <v>14</v>
      </c>
      <c r="B533">
        <v>200899</v>
      </c>
      <c r="C533" t="s">
        <v>133</v>
      </c>
      <c r="D533" t="s">
        <v>53</v>
      </c>
      <c r="E533" s="9">
        <v>48.106769999999997</v>
      </c>
      <c r="F533" s="10">
        <v>970341</v>
      </c>
      <c r="G533" s="11">
        <v>20.170000000000002</v>
      </c>
    </row>
    <row r="534" spans="1:7">
      <c r="A534" s="8" t="s">
        <v>14</v>
      </c>
      <c r="B534">
        <v>200899</v>
      </c>
      <c r="C534" t="s">
        <v>133</v>
      </c>
      <c r="D534" t="s">
        <v>138</v>
      </c>
      <c r="E534" s="9">
        <v>2E-3</v>
      </c>
      <c r="F534" s="10">
        <v>2</v>
      </c>
      <c r="G534" s="11">
        <v>1</v>
      </c>
    </row>
    <row r="535" spans="1:7">
      <c r="A535" s="8" t="s">
        <v>14</v>
      </c>
      <c r="B535">
        <v>200899</v>
      </c>
      <c r="C535" t="s">
        <v>133</v>
      </c>
      <c r="D535" t="s">
        <v>54</v>
      </c>
      <c r="E535" s="9">
        <v>958.11289999999997</v>
      </c>
      <c r="F535" s="10">
        <v>28903188</v>
      </c>
      <c r="G535" s="11">
        <v>30.17</v>
      </c>
    </row>
    <row r="536" spans="1:7">
      <c r="A536" s="8" t="s">
        <v>14</v>
      </c>
      <c r="B536">
        <v>200899</v>
      </c>
      <c r="C536" t="s">
        <v>133</v>
      </c>
      <c r="D536" t="s">
        <v>55</v>
      </c>
      <c r="E536" s="9">
        <v>62.662820000000004</v>
      </c>
      <c r="F536" s="10">
        <v>1410324</v>
      </c>
      <c r="G536" s="11">
        <v>22.51</v>
      </c>
    </row>
    <row r="537" spans="1:7">
      <c r="A537" s="8" t="s">
        <v>14</v>
      </c>
      <c r="B537">
        <v>200899</v>
      </c>
      <c r="C537" t="s">
        <v>133</v>
      </c>
      <c r="D537" t="s">
        <v>56</v>
      </c>
      <c r="E537" s="9">
        <v>2721.9409999999998</v>
      </c>
      <c r="F537" s="10">
        <v>49992788</v>
      </c>
      <c r="G537" s="11">
        <v>18.37</v>
      </c>
    </row>
    <row r="538" spans="1:7">
      <c r="A538" s="8" t="s">
        <v>14</v>
      </c>
      <c r="B538">
        <v>200899</v>
      </c>
      <c r="C538" t="s">
        <v>133</v>
      </c>
      <c r="D538" t="s">
        <v>57</v>
      </c>
      <c r="E538" s="9">
        <v>3.24085</v>
      </c>
      <c r="F538" s="10">
        <v>32959</v>
      </c>
      <c r="G538" s="11">
        <v>10.17</v>
      </c>
    </row>
    <row r="539" spans="1:7">
      <c r="A539" s="8" t="s">
        <v>14</v>
      </c>
      <c r="B539">
        <v>200899</v>
      </c>
      <c r="C539" t="s">
        <v>133</v>
      </c>
      <c r="D539" t="s">
        <v>139</v>
      </c>
      <c r="E539" s="9">
        <v>0.25358999999999998</v>
      </c>
      <c r="F539" s="10">
        <v>4021</v>
      </c>
      <c r="G539" s="11">
        <v>15.86</v>
      </c>
    </row>
    <row r="540" spans="1:7">
      <c r="A540" s="8" t="s">
        <v>14</v>
      </c>
      <c r="B540">
        <v>200899</v>
      </c>
      <c r="C540" t="s">
        <v>133</v>
      </c>
      <c r="D540" t="s">
        <v>173</v>
      </c>
      <c r="E540" s="9">
        <v>0.11524</v>
      </c>
      <c r="F540" s="10">
        <v>3708</v>
      </c>
      <c r="G540" s="11">
        <v>32.18</v>
      </c>
    </row>
    <row r="541" spans="1:7">
      <c r="A541" s="8" t="s">
        <v>14</v>
      </c>
      <c r="B541">
        <v>200899</v>
      </c>
      <c r="C541" t="s">
        <v>133</v>
      </c>
      <c r="D541" t="s">
        <v>58</v>
      </c>
      <c r="E541" s="9">
        <v>7.4822199999999999</v>
      </c>
      <c r="F541" s="10">
        <v>165296</v>
      </c>
      <c r="G541" s="11">
        <v>22.09</v>
      </c>
    </row>
    <row r="542" spans="1:7">
      <c r="A542" s="8" t="s">
        <v>14</v>
      </c>
      <c r="B542">
        <v>200899</v>
      </c>
      <c r="C542" t="s">
        <v>133</v>
      </c>
      <c r="D542" t="s">
        <v>59</v>
      </c>
      <c r="E542" s="9">
        <v>52.687159999999999</v>
      </c>
      <c r="F542" s="10">
        <v>310805</v>
      </c>
      <c r="G542" s="11">
        <v>5.9</v>
      </c>
    </row>
    <row r="543" spans="1:7">
      <c r="A543" s="8" t="s">
        <v>14</v>
      </c>
      <c r="B543">
        <v>200899</v>
      </c>
      <c r="C543" t="s">
        <v>133</v>
      </c>
      <c r="D543" t="s">
        <v>60</v>
      </c>
      <c r="E543" s="9">
        <v>112.15486199999999</v>
      </c>
      <c r="F543" s="10">
        <v>446943</v>
      </c>
      <c r="G543" s="11">
        <v>3.99</v>
      </c>
    </row>
    <row r="544" spans="1:7">
      <c r="A544" s="8" t="s">
        <v>14</v>
      </c>
      <c r="B544">
        <v>200899</v>
      </c>
      <c r="C544" t="s">
        <v>133</v>
      </c>
      <c r="D544" t="s">
        <v>61</v>
      </c>
      <c r="E544" s="9">
        <v>0.51685999999999999</v>
      </c>
      <c r="F544" s="10">
        <v>13819</v>
      </c>
      <c r="G544" s="11">
        <v>26.74</v>
      </c>
    </row>
    <row r="545" spans="1:7">
      <c r="A545" s="8" t="s">
        <v>14</v>
      </c>
      <c r="B545">
        <v>200899</v>
      </c>
      <c r="C545" t="s">
        <v>133</v>
      </c>
      <c r="D545" t="s">
        <v>140</v>
      </c>
      <c r="E545" s="9">
        <v>1.54996</v>
      </c>
      <c r="F545" s="10">
        <v>47503</v>
      </c>
      <c r="G545" s="11">
        <v>30.65</v>
      </c>
    </row>
    <row r="546" spans="1:7">
      <c r="A546" s="8" t="s">
        <v>14</v>
      </c>
      <c r="B546">
        <v>200899</v>
      </c>
      <c r="C546" t="s">
        <v>133</v>
      </c>
      <c r="D546" t="s">
        <v>141</v>
      </c>
      <c r="E546" s="9">
        <v>2.7924699999999998</v>
      </c>
      <c r="F546" s="10">
        <v>107240</v>
      </c>
      <c r="G546" s="11">
        <v>38.4</v>
      </c>
    </row>
    <row r="547" spans="1:7">
      <c r="A547" s="8" t="s">
        <v>14</v>
      </c>
      <c r="B547">
        <v>200899</v>
      </c>
      <c r="C547" t="s">
        <v>133</v>
      </c>
      <c r="D547" t="s">
        <v>62</v>
      </c>
      <c r="E547" s="9">
        <v>1.58168</v>
      </c>
      <c r="F547" s="10">
        <v>62733</v>
      </c>
      <c r="G547" s="11">
        <v>39.659999999999997</v>
      </c>
    </row>
    <row r="548" spans="1:7">
      <c r="A548" s="8" t="s">
        <v>14</v>
      </c>
      <c r="B548">
        <v>200899</v>
      </c>
      <c r="C548" t="s">
        <v>133</v>
      </c>
      <c r="D548" t="s">
        <v>142</v>
      </c>
      <c r="E548" s="9">
        <v>14.01036</v>
      </c>
      <c r="F548" s="10">
        <v>366748</v>
      </c>
      <c r="G548" s="11">
        <v>26.18</v>
      </c>
    </row>
    <row r="549" spans="1:7">
      <c r="A549" s="8" t="s">
        <v>14</v>
      </c>
      <c r="B549">
        <v>200899</v>
      </c>
      <c r="C549" t="s">
        <v>133</v>
      </c>
      <c r="D549" t="s">
        <v>63</v>
      </c>
      <c r="E549" s="9">
        <v>216.63333</v>
      </c>
      <c r="F549" s="10">
        <v>5093579</v>
      </c>
      <c r="G549" s="11">
        <v>23.51</v>
      </c>
    </row>
    <row r="550" spans="1:7">
      <c r="A550" s="8" t="s">
        <v>14</v>
      </c>
      <c r="B550">
        <v>200899</v>
      </c>
      <c r="C550" t="s">
        <v>133</v>
      </c>
      <c r="D550" t="s">
        <v>143</v>
      </c>
      <c r="E550" s="9">
        <v>6.7599999999999993E-2</v>
      </c>
      <c r="F550" s="10">
        <v>2864</v>
      </c>
      <c r="G550" s="11">
        <v>42.37</v>
      </c>
    </row>
    <row r="551" spans="1:7">
      <c r="A551" s="8" t="s">
        <v>14</v>
      </c>
      <c r="B551">
        <v>200899</v>
      </c>
      <c r="C551" t="s">
        <v>133</v>
      </c>
      <c r="D551" t="s">
        <v>64</v>
      </c>
      <c r="E551" s="9">
        <v>473.0926</v>
      </c>
      <c r="F551" s="10">
        <v>12112836</v>
      </c>
      <c r="G551" s="11">
        <v>25.6</v>
      </c>
    </row>
    <row r="552" spans="1:7">
      <c r="A552" s="8" t="s">
        <v>14</v>
      </c>
      <c r="B552">
        <v>200899</v>
      </c>
      <c r="C552" t="s">
        <v>133</v>
      </c>
      <c r="D552" t="s">
        <v>144</v>
      </c>
      <c r="E552" s="9">
        <v>5.5E-2</v>
      </c>
      <c r="F552" s="10">
        <v>126</v>
      </c>
      <c r="G552" s="11">
        <v>2.29</v>
      </c>
    </row>
    <row r="553" spans="1:7">
      <c r="A553" s="8" t="s">
        <v>14</v>
      </c>
      <c r="B553">
        <v>200899</v>
      </c>
      <c r="C553" t="s">
        <v>133</v>
      </c>
      <c r="D553" t="s">
        <v>65</v>
      </c>
      <c r="E553" s="9">
        <v>7.9588200000000002</v>
      </c>
      <c r="F553" s="10">
        <v>177996</v>
      </c>
      <c r="G553" s="11">
        <v>22.36</v>
      </c>
    </row>
    <row r="554" spans="1:7">
      <c r="A554" s="8" t="s">
        <v>14</v>
      </c>
      <c r="B554">
        <v>200899</v>
      </c>
      <c r="C554" t="s">
        <v>133</v>
      </c>
      <c r="D554" t="s">
        <v>66</v>
      </c>
      <c r="E554" s="9">
        <v>17.898479999999999</v>
      </c>
      <c r="F554" s="10">
        <v>302233</v>
      </c>
      <c r="G554" s="11">
        <v>16.89</v>
      </c>
    </row>
    <row r="555" spans="1:7">
      <c r="A555" s="8" t="s">
        <v>14</v>
      </c>
      <c r="B555">
        <v>200899</v>
      </c>
      <c r="C555" t="s">
        <v>133</v>
      </c>
      <c r="D555" t="s">
        <v>67</v>
      </c>
      <c r="E555" s="9">
        <v>2.9357739999999999</v>
      </c>
      <c r="F555" s="10">
        <v>59842</v>
      </c>
      <c r="G555" s="11">
        <v>20.38</v>
      </c>
    </row>
    <row r="556" spans="1:7">
      <c r="A556" s="8" t="s">
        <v>14</v>
      </c>
      <c r="B556">
        <v>200899</v>
      </c>
      <c r="C556" t="s">
        <v>133</v>
      </c>
      <c r="D556" t="s">
        <v>68</v>
      </c>
      <c r="E556" s="9">
        <v>0.17430000000000001</v>
      </c>
      <c r="F556" s="10">
        <v>2676</v>
      </c>
      <c r="G556" s="11">
        <v>15.35</v>
      </c>
    </row>
    <row r="557" spans="1:7">
      <c r="A557" s="8" t="s">
        <v>14</v>
      </c>
      <c r="B557">
        <v>200899</v>
      </c>
      <c r="C557" t="s">
        <v>133</v>
      </c>
      <c r="D557" t="s">
        <v>69</v>
      </c>
      <c r="E557" s="9">
        <v>0.27678000000000003</v>
      </c>
      <c r="F557" s="10">
        <v>3863</v>
      </c>
      <c r="G557" s="11">
        <v>13.96</v>
      </c>
    </row>
    <row r="558" spans="1:7">
      <c r="A558" s="8" t="s">
        <v>14</v>
      </c>
      <c r="B558">
        <v>200899</v>
      </c>
      <c r="C558" t="s">
        <v>133</v>
      </c>
      <c r="D558" t="s">
        <v>175</v>
      </c>
      <c r="E558" s="9">
        <v>0.30299999999999999</v>
      </c>
      <c r="F558" s="10">
        <v>1239</v>
      </c>
      <c r="G558" s="11">
        <v>4.09</v>
      </c>
    </row>
    <row r="559" spans="1:7">
      <c r="A559" s="8" t="s">
        <v>14</v>
      </c>
      <c r="B559">
        <v>200899</v>
      </c>
      <c r="C559" t="s">
        <v>133</v>
      </c>
      <c r="D559" t="s">
        <v>70</v>
      </c>
      <c r="E559" s="9">
        <v>456.93040000000002</v>
      </c>
      <c r="F559" s="10">
        <v>8696093</v>
      </c>
      <c r="G559" s="11">
        <v>19.03</v>
      </c>
    </row>
    <row r="560" spans="1:7">
      <c r="A560" s="8" t="s">
        <v>14</v>
      </c>
      <c r="B560">
        <v>200899</v>
      </c>
      <c r="C560" t="s">
        <v>133</v>
      </c>
      <c r="D560" t="s">
        <v>71</v>
      </c>
      <c r="E560" s="9">
        <v>0.98824000000000001</v>
      </c>
      <c r="F560" s="10">
        <v>26868</v>
      </c>
      <c r="G560" s="11">
        <v>27.19</v>
      </c>
    </row>
    <row r="561" spans="1:7">
      <c r="A561" s="8" t="s">
        <v>14</v>
      </c>
      <c r="B561">
        <v>200899</v>
      </c>
      <c r="C561" t="s">
        <v>133</v>
      </c>
      <c r="D561" t="s">
        <v>72</v>
      </c>
      <c r="E561" s="9">
        <v>302.12470000000002</v>
      </c>
      <c r="F561" s="10">
        <v>9290066</v>
      </c>
      <c r="G561" s="11">
        <v>30.75</v>
      </c>
    </row>
    <row r="562" spans="1:7">
      <c r="A562" s="8" t="s">
        <v>14</v>
      </c>
      <c r="B562">
        <v>200899</v>
      </c>
      <c r="C562" t="s">
        <v>133</v>
      </c>
      <c r="D562" t="s">
        <v>73</v>
      </c>
      <c r="E562" s="9">
        <v>5.1271969999999998</v>
      </c>
      <c r="F562" s="10">
        <v>58295</v>
      </c>
      <c r="G562" s="11">
        <v>11.37</v>
      </c>
    </row>
    <row r="563" spans="1:7">
      <c r="A563" s="8" t="s">
        <v>14</v>
      </c>
      <c r="B563">
        <v>200899</v>
      </c>
      <c r="C563" t="s">
        <v>133</v>
      </c>
      <c r="D563" t="s">
        <v>74</v>
      </c>
      <c r="E563" s="9">
        <v>7.4358230000000001</v>
      </c>
      <c r="F563" s="10">
        <v>270922</v>
      </c>
      <c r="G563" s="11">
        <v>36.43</v>
      </c>
    </row>
    <row r="564" spans="1:7">
      <c r="A564" s="8" t="s">
        <v>14</v>
      </c>
      <c r="B564">
        <v>200899</v>
      </c>
      <c r="C564" t="s">
        <v>133</v>
      </c>
      <c r="D564" t="s">
        <v>75</v>
      </c>
      <c r="E564" s="9">
        <v>46.960590000000003</v>
      </c>
      <c r="F564" s="10">
        <v>1764746</v>
      </c>
      <c r="G564" s="11">
        <v>37.58</v>
      </c>
    </row>
    <row r="565" spans="1:7">
      <c r="A565" s="8" t="s">
        <v>14</v>
      </c>
      <c r="B565">
        <v>200899</v>
      </c>
      <c r="C565" t="s">
        <v>133</v>
      </c>
      <c r="D565" t="s">
        <v>76</v>
      </c>
      <c r="E565" s="9">
        <v>51.627780000000001</v>
      </c>
      <c r="F565" s="10">
        <v>1410335</v>
      </c>
      <c r="G565" s="11">
        <v>27.32</v>
      </c>
    </row>
    <row r="566" spans="1:7">
      <c r="A566" s="8" t="s">
        <v>14</v>
      </c>
      <c r="B566">
        <v>200899</v>
      </c>
      <c r="C566" t="s">
        <v>133</v>
      </c>
      <c r="D566" t="s">
        <v>78</v>
      </c>
      <c r="E566" s="9">
        <v>4264.2179999999998</v>
      </c>
      <c r="F566" s="10">
        <v>79234436</v>
      </c>
      <c r="G566" s="11">
        <v>18.579999999999998</v>
      </c>
    </row>
    <row r="567" spans="1:7">
      <c r="A567" s="8" t="s">
        <v>14</v>
      </c>
      <c r="B567">
        <v>200899</v>
      </c>
      <c r="C567" t="s">
        <v>133</v>
      </c>
      <c r="D567" t="s">
        <v>79</v>
      </c>
      <c r="E567" s="9">
        <v>50.551876</v>
      </c>
      <c r="F567" s="10">
        <v>1336163</v>
      </c>
      <c r="G567" s="11">
        <v>26.43</v>
      </c>
    </row>
    <row r="568" spans="1:7">
      <c r="A568" s="8" t="s">
        <v>14</v>
      </c>
      <c r="B568">
        <v>200899</v>
      </c>
      <c r="C568" t="s">
        <v>133</v>
      </c>
      <c r="D568" t="s">
        <v>145</v>
      </c>
      <c r="E568" s="9">
        <v>4.2000000000000003E-2</v>
      </c>
      <c r="F568" s="10">
        <v>982</v>
      </c>
      <c r="G568" s="11">
        <v>23.38</v>
      </c>
    </row>
    <row r="569" spans="1:7">
      <c r="A569" s="8" t="s">
        <v>14</v>
      </c>
      <c r="B569">
        <v>200899</v>
      </c>
      <c r="C569" t="s">
        <v>133</v>
      </c>
      <c r="D569" t="s">
        <v>80</v>
      </c>
      <c r="E569" s="9">
        <v>4.4999999999999997E-3</v>
      </c>
      <c r="F569" s="10">
        <v>157</v>
      </c>
      <c r="G569" s="11">
        <v>34.89</v>
      </c>
    </row>
    <row r="570" spans="1:7">
      <c r="A570" s="8" t="s">
        <v>14</v>
      </c>
      <c r="B570">
        <v>200899</v>
      </c>
      <c r="C570" t="s">
        <v>133</v>
      </c>
      <c r="D570" t="s">
        <v>81</v>
      </c>
      <c r="E570" s="9">
        <v>2.7356319999999998</v>
      </c>
      <c r="F570" s="10">
        <v>104571</v>
      </c>
      <c r="G570" s="11">
        <v>38.229999999999997</v>
      </c>
    </row>
    <row r="571" spans="1:7">
      <c r="A571" s="8" t="s">
        <v>14</v>
      </c>
      <c r="B571">
        <v>200899</v>
      </c>
      <c r="C571" t="s">
        <v>133</v>
      </c>
      <c r="D571" t="s">
        <v>82</v>
      </c>
      <c r="E571" s="9">
        <v>3.1765379999999999</v>
      </c>
      <c r="F571" s="10">
        <v>36684</v>
      </c>
      <c r="G571" s="11">
        <v>11.55</v>
      </c>
    </row>
    <row r="572" spans="1:7">
      <c r="A572" s="8" t="s">
        <v>14</v>
      </c>
      <c r="B572">
        <v>200899</v>
      </c>
      <c r="C572" t="s">
        <v>133</v>
      </c>
      <c r="D572" t="s">
        <v>83</v>
      </c>
      <c r="E572" s="9">
        <v>15.339309999999999</v>
      </c>
      <c r="F572" s="10">
        <v>218088</v>
      </c>
      <c r="G572" s="11">
        <v>14.22</v>
      </c>
    </row>
    <row r="573" spans="1:7">
      <c r="A573" s="8" t="s">
        <v>14</v>
      </c>
      <c r="B573">
        <v>200899</v>
      </c>
      <c r="C573" t="s">
        <v>133</v>
      </c>
      <c r="D573" t="s">
        <v>84</v>
      </c>
      <c r="E573" s="9">
        <v>1.39629</v>
      </c>
      <c r="F573" s="10">
        <v>35758</v>
      </c>
      <c r="G573" s="11">
        <v>25.61</v>
      </c>
    </row>
    <row r="574" spans="1:7">
      <c r="A574" s="8" t="s">
        <v>14</v>
      </c>
      <c r="B574">
        <v>200899</v>
      </c>
      <c r="C574" t="s">
        <v>133</v>
      </c>
      <c r="D574" t="s">
        <v>146</v>
      </c>
      <c r="E574" s="9">
        <v>4.0579999999999998</v>
      </c>
      <c r="F574" s="10">
        <v>121548</v>
      </c>
      <c r="G574" s="11">
        <v>29.95</v>
      </c>
    </row>
    <row r="575" spans="1:7">
      <c r="A575" s="8" t="s">
        <v>14</v>
      </c>
      <c r="B575">
        <v>200899</v>
      </c>
      <c r="C575" t="s">
        <v>133</v>
      </c>
      <c r="D575" t="s">
        <v>85</v>
      </c>
      <c r="E575" s="9">
        <v>0.1968</v>
      </c>
      <c r="F575" s="10">
        <v>6465</v>
      </c>
      <c r="G575" s="11">
        <v>32.85</v>
      </c>
    </row>
    <row r="576" spans="1:7">
      <c r="A576" s="8" t="s">
        <v>14</v>
      </c>
      <c r="B576">
        <v>200899</v>
      </c>
      <c r="C576" t="s">
        <v>133</v>
      </c>
      <c r="D576" t="s">
        <v>86</v>
      </c>
      <c r="E576" s="9">
        <v>36.211460000000002</v>
      </c>
      <c r="F576" s="10">
        <v>580654</v>
      </c>
      <c r="G576" s="11">
        <v>16.04</v>
      </c>
    </row>
    <row r="577" spans="1:7">
      <c r="A577" s="8" t="s">
        <v>14</v>
      </c>
      <c r="B577">
        <v>200899</v>
      </c>
      <c r="C577" t="s">
        <v>133</v>
      </c>
      <c r="D577" t="s">
        <v>87</v>
      </c>
      <c r="E577" s="9">
        <v>9.4799999999999995E-2</v>
      </c>
      <c r="F577" s="10">
        <v>3387</v>
      </c>
      <c r="G577" s="11">
        <v>35.729999999999997</v>
      </c>
    </row>
    <row r="578" spans="1:7">
      <c r="A578" s="8" t="s">
        <v>14</v>
      </c>
      <c r="B578">
        <v>200899</v>
      </c>
      <c r="C578" t="s">
        <v>133</v>
      </c>
      <c r="D578" t="s">
        <v>149</v>
      </c>
      <c r="E578" s="9">
        <v>2E-3</v>
      </c>
      <c r="F578" s="10">
        <v>17</v>
      </c>
      <c r="G578" s="11">
        <v>8.5</v>
      </c>
    </row>
    <row r="579" spans="1:7">
      <c r="A579" s="8" t="s">
        <v>14</v>
      </c>
      <c r="B579">
        <v>200899</v>
      </c>
      <c r="C579" t="s">
        <v>133</v>
      </c>
      <c r="D579" t="s">
        <v>88</v>
      </c>
      <c r="E579" s="9">
        <v>473.2303</v>
      </c>
      <c r="F579" s="10">
        <v>5108793</v>
      </c>
      <c r="G579" s="11">
        <v>10.8</v>
      </c>
    </row>
    <row r="580" spans="1:7">
      <c r="A580" s="8" t="s">
        <v>14</v>
      </c>
      <c r="B580">
        <v>200899</v>
      </c>
      <c r="C580" t="s">
        <v>133</v>
      </c>
      <c r="D580" t="s">
        <v>89</v>
      </c>
      <c r="E580" s="9">
        <v>6.7519999999999997E-2</v>
      </c>
      <c r="F580" s="10">
        <v>2252</v>
      </c>
      <c r="G580" s="11">
        <v>33.35</v>
      </c>
    </row>
    <row r="581" spans="1:7">
      <c r="A581" s="8" t="s">
        <v>14</v>
      </c>
      <c r="B581">
        <v>200899</v>
      </c>
      <c r="C581" t="s">
        <v>133</v>
      </c>
      <c r="D581" t="s">
        <v>168</v>
      </c>
      <c r="E581" s="9">
        <v>0.2477</v>
      </c>
      <c r="F581" s="10">
        <v>6139</v>
      </c>
      <c r="G581" s="11">
        <v>24.78</v>
      </c>
    </row>
    <row r="582" spans="1:7">
      <c r="A582" s="8" t="s">
        <v>14</v>
      </c>
      <c r="B582">
        <v>200899</v>
      </c>
      <c r="C582" t="s">
        <v>133</v>
      </c>
      <c r="D582" t="s">
        <v>90</v>
      </c>
      <c r="E582" s="9">
        <v>90.601519999999994</v>
      </c>
      <c r="F582" s="10">
        <v>2664850</v>
      </c>
      <c r="G582" s="11">
        <v>29.41</v>
      </c>
    </row>
    <row r="583" spans="1:7">
      <c r="A583" s="8" t="s">
        <v>14</v>
      </c>
      <c r="B583">
        <v>200899</v>
      </c>
      <c r="C583" t="s">
        <v>133</v>
      </c>
      <c r="D583" t="s">
        <v>91</v>
      </c>
      <c r="E583" s="9">
        <v>788.32280000000003</v>
      </c>
      <c r="F583" s="10">
        <v>15813689</v>
      </c>
      <c r="G583" s="11">
        <v>20.059999999999999</v>
      </c>
    </row>
    <row r="584" spans="1:7">
      <c r="A584" s="8" t="s">
        <v>14</v>
      </c>
      <c r="B584">
        <v>200899</v>
      </c>
      <c r="C584" t="s">
        <v>133</v>
      </c>
      <c r="D584" t="s">
        <v>92</v>
      </c>
      <c r="E584" s="9">
        <v>263.32353999999998</v>
      </c>
      <c r="F584" s="10">
        <v>3136525</v>
      </c>
      <c r="G584" s="11">
        <v>11.91</v>
      </c>
    </row>
    <row r="585" spans="1:7">
      <c r="A585" s="8" t="s">
        <v>14</v>
      </c>
      <c r="B585">
        <v>200899</v>
      </c>
      <c r="C585" t="s">
        <v>133</v>
      </c>
      <c r="D585" t="s">
        <v>93</v>
      </c>
      <c r="E585" s="9">
        <v>10.95782</v>
      </c>
      <c r="F585" s="10">
        <v>223122</v>
      </c>
      <c r="G585" s="11">
        <v>20.36</v>
      </c>
    </row>
    <row r="586" spans="1:7">
      <c r="A586" s="8" t="s">
        <v>14</v>
      </c>
      <c r="B586">
        <v>200899</v>
      </c>
      <c r="C586" t="s">
        <v>133</v>
      </c>
      <c r="D586" t="s">
        <v>94</v>
      </c>
      <c r="E586" s="9">
        <v>1.1586399999999999</v>
      </c>
      <c r="F586" s="10">
        <v>31621</v>
      </c>
      <c r="G586" s="11">
        <v>27.29</v>
      </c>
    </row>
    <row r="587" spans="1:7">
      <c r="A587" s="8" t="s">
        <v>14</v>
      </c>
      <c r="B587">
        <v>200899</v>
      </c>
      <c r="C587" t="s">
        <v>133</v>
      </c>
      <c r="D587" t="s">
        <v>169</v>
      </c>
      <c r="E587" s="9">
        <v>0.75600000000000001</v>
      </c>
      <c r="F587" s="10">
        <v>10094</v>
      </c>
      <c r="G587" s="11">
        <v>13.35</v>
      </c>
    </row>
    <row r="588" spans="1:7">
      <c r="A588" s="8" t="s">
        <v>14</v>
      </c>
      <c r="B588">
        <v>200899</v>
      </c>
      <c r="C588" t="s">
        <v>133</v>
      </c>
      <c r="D588" t="s">
        <v>151</v>
      </c>
      <c r="E588" s="9">
        <v>0.59031999999999996</v>
      </c>
      <c r="F588" s="10">
        <v>20423</v>
      </c>
      <c r="G588" s="11">
        <v>34.6</v>
      </c>
    </row>
    <row r="589" spans="1:7">
      <c r="A589" s="8" t="s">
        <v>14</v>
      </c>
      <c r="B589">
        <v>200899</v>
      </c>
      <c r="C589" t="s">
        <v>133</v>
      </c>
      <c r="D589" t="s">
        <v>152</v>
      </c>
      <c r="E589" s="9">
        <v>9.0946099999999994</v>
      </c>
      <c r="F589" s="10">
        <v>94807</v>
      </c>
      <c r="G589" s="11">
        <v>10.42</v>
      </c>
    </row>
    <row r="590" spans="1:7">
      <c r="A590" s="8" t="s">
        <v>14</v>
      </c>
      <c r="B590">
        <v>200899</v>
      </c>
      <c r="C590" t="s">
        <v>133</v>
      </c>
      <c r="D590" t="s">
        <v>95</v>
      </c>
      <c r="E590" s="9">
        <v>394.67309999999998</v>
      </c>
      <c r="F590" s="10">
        <v>8284381</v>
      </c>
      <c r="G590" s="11">
        <v>20.99</v>
      </c>
    </row>
    <row r="591" spans="1:7">
      <c r="A591" s="8" t="s">
        <v>14</v>
      </c>
      <c r="B591">
        <v>200899</v>
      </c>
      <c r="C591" t="s">
        <v>133</v>
      </c>
      <c r="D591" t="s">
        <v>170</v>
      </c>
      <c r="E591" s="9">
        <v>4.7820000000000001E-2</v>
      </c>
      <c r="F591" s="10">
        <v>572</v>
      </c>
      <c r="G591" s="11">
        <v>11.96</v>
      </c>
    </row>
    <row r="592" spans="1:7">
      <c r="A592" s="8" t="s">
        <v>14</v>
      </c>
      <c r="B592">
        <v>200899</v>
      </c>
      <c r="C592" t="s">
        <v>133</v>
      </c>
      <c r="D592" t="s">
        <v>153</v>
      </c>
      <c r="E592" s="9">
        <v>0.114</v>
      </c>
      <c r="F592" s="10">
        <v>632</v>
      </c>
      <c r="G592" s="11">
        <v>5.54</v>
      </c>
    </row>
    <row r="593" spans="1:7">
      <c r="A593" s="8" t="s">
        <v>14</v>
      </c>
      <c r="B593">
        <v>200899</v>
      </c>
      <c r="C593" t="s">
        <v>133</v>
      </c>
      <c r="D593" t="s">
        <v>97</v>
      </c>
      <c r="E593" s="9">
        <v>140.27743000000001</v>
      </c>
      <c r="F593" s="10">
        <v>4503301</v>
      </c>
      <c r="G593" s="11">
        <v>32.1</v>
      </c>
    </row>
    <row r="594" spans="1:7">
      <c r="A594" s="8" t="s">
        <v>14</v>
      </c>
      <c r="B594">
        <v>200899</v>
      </c>
      <c r="C594" t="s">
        <v>133</v>
      </c>
      <c r="D594" t="s">
        <v>154</v>
      </c>
      <c r="E594" s="9">
        <v>9.5299999999999996E-2</v>
      </c>
      <c r="F594" s="10">
        <v>2522</v>
      </c>
      <c r="G594" s="11">
        <v>26.46</v>
      </c>
    </row>
    <row r="595" spans="1:7">
      <c r="A595" s="8" t="s">
        <v>14</v>
      </c>
      <c r="B595">
        <v>200899</v>
      </c>
      <c r="C595" t="s">
        <v>133</v>
      </c>
      <c r="D595" t="s">
        <v>98</v>
      </c>
      <c r="E595" s="9">
        <v>4.15E-3</v>
      </c>
      <c r="F595" s="10">
        <v>153</v>
      </c>
      <c r="G595" s="11">
        <v>36.869999999999997</v>
      </c>
    </row>
    <row r="596" spans="1:7">
      <c r="A596" s="8" t="s">
        <v>14</v>
      </c>
      <c r="B596">
        <v>200899</v>
      </c>
      <c r="C596" t="s">
        <v>133</v>
      </c>
      <c r="D596" t="s">
        <v>99</v>
      </c>
      <c r="E596" s="9">
        <v>38.76981</v>
      </c>
      <c r="F596" s="10">
        <v>963285</v>
      </c>
      <c r="G596" s="11">
        <v>24.85</v>
      </c>
    </row>
    <row r="597" spans="1:7">
      <c r="A597" s="8" t="s">
        <v>14</v>
      </c>
      <c r="B597">
        <v>200899</v>
      </c>
      <c r="C597" t="s">
        <v>133</v>
      </c>
      <c r="D597" t="s">
        <v>100</v>
      </c>
      <c r="E597" s="9">
        <v>7.8298500000000004</v>
      </c>
      <c r="F597" s="10">
        <v>177348</v>
      </c>
      <c r="G597" s="11">
        <v>22.65</v>
      </c>
    </row>
    <row r="598" spans="1:7">
      <c r="A598" s="8" t="s">
        <v>14</v>
      </c>
      <c r="B598">
        <v>200899</v>
      </c>
      <c r="C598" t="s">
        <v>133</v>
      </c>
      <c r="D598" t="s">
        <v>155</v>
      </c>
      <c r="E598" s="9">
        <v>0.11092</v>
      </c>
      <c r="F598" s="10">
        <v>4463</v>
      </c>
      <c r="G598" s="11">
        <v>40.24</v>
      </c>
    </row>
    <row r="599" spans="1:7">
      <c r="A599" s="8" t="s">
        <v>14</v>
      </c>
      <c r="B599">
        <v>200899</v>
      </c>
      <c r="C599" t="s">
        <v>133</v>
      </c>
      <c r="D599" t="s">
        <v>101</v>
      </c>
      <c r="E599" s="9">
        <v>2.5000000000000001E-2</v>
      </c>
      <c r="F599" s="10">
        <v>56</v>
      </c>
      <c r="G599" s="11">
        <v>2.2400000000000002</v>
      </c>
    </row>
    <row r="600" spans="1:7">
      <c r="A600" s="8" t="s">
        <v>14</v>
      </c>
      <c r="B600">
        <v>200899</v>
      </c>
      <c r="C600" t="s">
        <v>133</v>
      </c>
      <c r="D600" t="s">
        <v>102</v>
      </c>
      <c r="E600" s="9">
        <v>0.64114000000000004</v>
      </c>
      <c r="F600" s="10">
        <v>21557</v>
      </c>
      <c r="G600" s="11">
        <v>33.619999999999997</v>
      </c>
    </row>
    <row r="601" spans="1:7">
      <c r="A601" s="8" t="s">
        <v>14</v>
      </c>
      <c r="B601">
        <v>200899</v>
      </c>
      <c r="C601" t="s">
        <v>133</v>
      </c>
      <c r="D601" t="s">
        <v>156</v>
      </c>
      <c r="E601" s="9">
        <v>14.9</v>
      </c>
      <c r="F601" s="10">
        <v>39786</v>
      </c>
      <c r="G601" s="11">
        <v>2.67</v>
      </c>
    </row>
    <row r="602" spans="1:7">
      <c r="A602" s="8" t="s">
        <v>14</v>
      </c>
      <c r="B602">
        <v>200899</v>
      </c>
      <c r="C602" t="s">
        <v>133</v>
      </c>
      <c r="D602" t="s">
        <v>103</v>
      </c>
      <c r="E602" s="9">
        <v>2.1149</v>
      </c>
      <c r="F602" s="10">
        <v>48140</v>
      </c>
      <c r="G602" s="11">
        <v>22.76</v>
      </c>
    </row>
    <row r="603" spans="1:7">
      <c r="A603" s="8" t="s">
        <v>14</v>
      </c>
      <c r="B603">
        <v>200899</v>
      </c>
      <c r="C603" t="s">
        <v>133</v>
      </c>
      <c r="D603" t="s">
        <v>104</v>
      </c>
      <c r="E603" s="9">
        <v>1.9324300000000001</v>
      </c>
      <c r="F603" s="10">
        <v>45351</v>
      </c>
      <c r="G603" s="11">
        <v>23.47</v>
      </c>
    </row>
    <row r="604" spans="1:7">
      <c r="A604" s="8" t="s">
        <v>14</v>
      </c>
      <c r="B604">
        <v>200899</v>
      </c>
      <c r="C604" t="s">
        <v>133</v>
      </c>
      <c r="D604" t="s">
        <v>105</v>
      </c>
      <c r="E604" s="9">
        <v>2.98305</v>
      </c>
      <c r="F604" s="10">
        <v>84700</v>
      </c>
      <c r="G604" s="11">
        <v>28.39</v>
      </c>
    </row>
    <row r="605" spans="1:7">
      <c r="A605" s="8" t="s">
        <v>14</v>
      </c>
      <c r="B605">
        <v>200899</v>
      </c>
      <c r="C605" t="s">
        <v>133</v>
      </c>
      <c r="D605" t="s">
        <v>106</v>
      </c>
      <c r="E605" s="9">
        <v>840.53790000000004</v>
      </c>
      <c r="F605" s="10">
        <v>14532917</v>
      </c>
      <c r="G605" s="11">
        <v>17.29</v>
      </c>
    </row>
    <row r="606" spans="1:7">
      <c r="A606" s="8" t="s">
        <v>14</v>
      </c>
      <c r="B606">
        <v>200899</v>
      </c>
      <c r="C606" t="s">
        <v>133</v>
      </c>
      <c r="D606" t="s">
        <v>107</v>
      </c>
      <c r="E606" s="9">
        <v>224.72547</v>
      </c>
      <c r="F606" s="10">
        <v>5755575</v>
      </c>
      <c r="G606" s="11">
        <v>25.61</v>
      </c>
    </row>
    <row r="607" spans="1:7">
      <c r="A607" s="8" t="s">
        <v>14</v>
      </c>
      <c r="B607">
        <v>200899</v>
      </c>
      <c r="C607" t="s">
        <v>133</v>
      </c>
      <c r="D607" t="s">
        <v>157</v>
      </c>
      <c r="E607" s="9">
        <v>23.783180000000002</v>
      </c>
      <c r="F607" s="10">
        <v>222224</v>
      </c>
      <c r="G607" s="11">
        <v>9.34</v>
      </c>
    </row>
    <row r="608" spans="1:7">
      <c r="A608" s="8" t="s">
        <v>14</v>
      </c>
      <c r="B608">
        <v>200899</v>
      </c>
      <c r="C608" t="s">
        <v>133</v>
      </c>
      <c r="D608" t="s">
        <v>181</v>
      </c>
      <c r="E608" s="9">
        <v>7.0000000000000007E-2</v>
      </c>
      <c r="F608" s="10">
        <v>295</v>
      </c>
      <c r="G608" s="11">
        <v>4.21</v>
      </c>
    </row>
    <row r="609" spans="1:7">
      <c r="A609" s="8" t="s">
        <v>14</v>
      </c>
      <c r="B609">
        <v>200899</v>
      </c>
      <c r="C609" t="s">
        <v>133</v>
      </c>
      <c r="D609" t="s">
        <v>108</v>
      </c>
      <c r="E609" s="9">
        <v>9.8748699999999996</v>
      </c>
      <c r="F609" s="10">
        <v>195005</v>
      </c>
      <c r="G609" s="11">
        <v>19.75</v>
      </c>
    </row>
    <row r="610" spans="1:7">
      <c r="A610" s="8" t="s">
        <v>14</v>
      </c>
      <c r="B610">
        <v>200899</v>
      </c>
      <c r="C610" t="s">
        <v>133</v>
      </c>
      <c r="D610" t="s">
        <v>158</v>
      </c>
      <c r="E610" s="9">
        <v>7.4748599999999996</v>
      </c>
      <c r="F610" s="10">
        <v>190370</v>
      </c>
      <c r="G610" s="11">
        <v>25.47</v>
      </c>
    </row>
    <row r="611" spans="1:7">
      <c r="A611" s="8" t="s">
        <v>14</v>
      </c>
      <c r="B611">
        <v>200899</v>
      </c>
      <c r="C611" t="s">
        <v>133</v>
      </c>
      <c r="D611" t="s">
        <v>109</v>
      </c>
      <c r="E611" s="9">
        <v>649.06529999999998</v>
      </c>
      <c r="F611" s="10">
        <v>13680639</v>
      </c>
      <c r="G611" s="11">
        <v>21.08</v>
      </c>
    </row>
    <row r="612" spans="1:7">
      <c r="A612" s="8" t="s">
        <v>14</v>
      </c>
      <c r="B612">
        <v>200899</v>
      </c>
      <c r="C612" t="s">
        <v>133</v>
      </c>
      <c r="D612" t="s">
        <v>110</v>
      </c>
      <c r="E612" s="9">
        <v>21.145244000000002</v>
      </c>
      <c r="F612" s="10">
        <v>436813</v>
      </c>
      <c r="G612" s="11">
        <v>20.66</v>
      </c>
    </row>
    <row r="613" spans="1:7">
      <c r="A613" s="8" t="s">
        <v>14</v>
      </c>
      <c r="B613">
        <v>200899</v>
      </c>
      <c r="C613" t="s">
        <v>133</v>
      </c>
      <c r="D613" t="s">
        <v>112</v>
      </c>
      <c r="E613" s="9">
        <v>2.2652000000000001</v>
      </c>
      <c r="F613" s="10">
        <v>55846</v>
      </c>
      <c r="G613" s="11">
        <v>24.65</v>
      </c>
    </row>
    <row r="614" spans="1:7">
      <c r="A614" s="8" t="s">
        <v>14</v>
      </c>
      <c r="B614">
        <v>200899</v>
      </c>
      <c r="C614" t="s">
        <v>133</v>
      </c>
      <c r="D614" t="s">
        <v>113</v>
      </c>
      <c r="E614" s="9">
        <v>13.038589999999999</v>
      </c>
      <c r="F614" s="10">
        <v>430795</v>
      </c>
      <c r="G614" s="11">
        <v>33.04</v>
      </c>
    </row>
    <row r="615" spans="1:7">
      <c r="A615" s="8" t="s">
        <v>14</v>
      </c>
      <c r="B615">
        <v>200899</v>
      </c>
      <c r="C615" t="s">
        <v>133</v>
      </c>
      <c r="D615" t="s">
        <v>114</v>
      </c>
      <c r="E615" s="9">
        <v>202.9588</v>
      </c>
      <c r="F615" s="10">
        <v>4302983</v>
      </c>
      <c r="G615" s="11">
        <v>21.2</v>
      </c>
    </row>
    <row r="616" spans="1:7">
      <c r="A616" s="8" t="s">
        <v>14</v>
      </c>
      <c r="B616">
        <v>200899</v>
      </c>
      <c r="C616" t="s">
        <v>133</v>
      </c>
      <c r="D616" t="s">
        <v>115</v>
      </c>
      <c r="E616" s="9">
        <v>5.3199999999999997E-2</v>
      </c>
      <c r="F616" s="10">
        <v>1852</v>
      </c>
      <c r="G616" s="11">
        <v>34.81</v>
      </c>
    </row>
    <row r="617" spans="1:7">
      <c r="A617" s="8" t="s">
        <v>14</v>
      </c>
      <c r="B617">
        <v>200899</v>
      </c>
      <c r="C617" t="s">
        <v>133</v>
      </c>
      <c r="D617" t="s">
        <v>116</v>
      </c>
      <c r="E617" s="9">
        <v>1602.5786000000001</v>
      </c>
      <c r="F617" s="10">
        <v>30890020</v>
      </c>
      <c r="G617" s="11">
        <v>19.28</v>
      </c>
    </row>
    <row r="618" spans="1:7">
      <c r="A618" s="8" t="s">
        <v>14</v>
      </c>
      <c r="B618">
        <v>200899</v>
      </c>
      <c r="C618" t="s">
        <v>133</v>
      </c>
      <c r="D618" t="s">
        <v>117</v>
      </c>
      <c r="E618" s="9">
        <v>1.7280500000000001</v>
      </c>
      <c r="F618" s="10">
        <v>46462</v>
      </c>
      <c r="G618" s="11">
        <v>26.89</v>
      </c>
    </row>
    <row r="619" spans="1:7">
      <c r="A619" s="8" t="s">
        <v>14</v>
      </c>
      <c r="B619">
        <v>200899</v>
      </c>
      <c r="C619" t="s">
        <v>133</v>
      </c>
      <c r="D619" t="s">
        <v>118</v>
      </c>
      <c r="E619" s="9">
        <v>5.3956499999999998</v>
      </c>
      <c r="F619" s="10">
        <v>97187</v>
      </c>
      <c r="G619" s="11">
        <v>18.010000000000002</v>
      </c>
    </row>
    <row r="620" spans="1:7">
      <c r="A620" s="8" t="s">
        <v>14</v>
      </c>
      <c r="B620">
        <v>200899</v>
      </c>
      <c r="C620" t="s">
        <v>133</v>
      </c>
      <c r="D620" t="s">
        <v>119</v>
      </c>
      <c r="E620" s="9">
        <v>66.224706999999995</v>
      </c>
      <c r="F620" s="10">
        <v>1318302</v>
      </c>
      <c r="G620" s="11">
        <v>19.91</v>
      </c>
    </row>
    <row r="621" spans="1:7">
      <c r="A621" s="8" t="s">
        <v>14</v>
      </c>
      <c r="B621">
        <v>200899</v>
      </c>
      <c r="C621" t="s">
        <v>133</v>
      </c>
      <c r="D621" t="s">
        <v>120</v>
      </c>
      <c r="E621" s="9">
        <v>144.82445999999999</v>
      </c>
      <c r="F621" s="10">
        <v>1353851</v>
      </c>
      <c r="G621" s="11">
        <v>9.35</v>
      </c>
    </row>
    <row r="622" spans="1:7">
      <c r="A622" s="8" t="s">
        <v>14</v>
      </c>
      <c r="B622">
        <v>200899</v>
      </c>
      <c r="C622" t="s">
        <v>133</v>
      </c>
      <c r="D622" t="s">
        <v>121</v>
      </c>
      <c r="E622" s="9">
        <v>21.349385000000002</v>
      </c>
      <c r="F622" s="10">
        <v>693602</v>
      </c>
      <c r="G622" s="11">
        <v>32.49</v>
      </c>
    </row>
    <row r="623" spans="1:7">
      <c r="A623" s="8" t="s">
        <v>14</v>
      </c>
      <c r="B623">
        <v>200899</v>
      </c>
      <c r="C623" t="s">
        <v>133</v>
      </c>
      <c r="D623" t="s">
        <v>182</v>
      </c>
      <c r="E623" s="9">
        <v>3.2306000000000001E-2</v>
      </c>
      <c r="F623" s="10">
        <v>413</v>
      </c>
      <c r="G623" s="11">
        <v>12.78</v>
      </c>
    </row>
    <row r="624" spans="1:7">
      <c r="A624" s="8" t="s">
        <v>14</v>
      </c>
      <c r="B624">
        <v>200899</v>
      </c>
      <c r="C624" t="s">
        <v>133</v>
      </c>
      <c r="D624" t="s">
        <v>122</v>
      </c>
      <c r="E624" s="9">
        <v>239.59229999999999</v>
      </c>
      <c r="F624" s="10">
        <v>5849639</v>
      </c>
      <c r="G624" s="11">
        <v>24.41</v>
      </c>
    </row>
    <row r="625" spans="1:7">
      <c r="A625" s="8" t="s">
        <v>14</v>
      </c>
      <c r="B625">
        <v>200899</v>
      </c>
      <c r="C625" t="s">
        <v>133</v>
      </c>
      <c r="D625" t="s">
        <v>177</v>
      </c>
      <c r="E625" s="9">
        <v>0.13736000000000001</v>
      </c>
      <c r="F625" s="10">
        <v>1951</v>
      </c>
      <c r="G625" s="11">
        <v>14.2</v>
      </c>
    </row>
    <row r="626" spans="1:7">
      <c r="A626" s="8" t="s">
        <v>14</v>
      </c>
      <c r="B626">
        <v>200899</v>
      </c>
      <c r="C626" t="s">
        <v>133</v>
      </c>
      <c r="D626" t="s">
        <v>124</v>
      </c>
      <c r="E626" s="9">
        <v>50.445650000000001</v>
      </c>
      <c r="F626" s="10">
        <v>1656783</v>
      </c>
      <c r="G626" s="11">
        <v>32.840000000000003</v>
      </c>
    </row>
    <row r="627" spans="1:7">
      <c r="A627" s="8" t="s">
        <v>14</v>
      </c>
      <c r="B627">
        <v>200899</v>
      </c>
      <c r="C627" t="s">
        <v>133</v>
      </c>
      <c r="D627" t="s">
        <v>125</v>
      </c>
      <c r="E627" s="9">
        <v>0.886575</v>
      </c>
      <c r="F627" s="10">
        <v>25666</v>
      </c>
      <c r="G627" s="11">
        <v>28.95</v>
      </c>
    </row>
    <row r="628" spans="1:7">
      <c r="A628" s="8" t="s">
        <v>14</v>
      </c>
      <c r="B628">
        <v>200899</v>
      </c>
      <c r="C628" t="s">
        <v>133</v>
      </c>
      <c r="D628" t="s">
        <v>126</v>
      </c>
      <c r="E628" s="9">
        <v>9.9815500000000004</v>
      </c>
      <c r="F628" s="10">
        <v>257501</v>
      </c>
      <c r="G628" s="11">
        <v>25.8</v>
      </c>
    </row>
    <row r="629" spans="1:7">
      <c r="A629" s="8" t="s">
        <v>14</v>
      </c>
      <c r="B629">
        <v>200899</v>
      </c>
      <c r="C629" t="s">
        <v>133</v>
      </c>
      <c r="D629" t="s">
        <v>127</v>
      </c>
      <c r="E629" s="9">
        <v>157.81641999999999</v>
      </c>
      <c r="F629" s="10">
        <v>3478142</v>
      </c>
      <c r="G629" s="11">
        <v>22.04</v>
      </c>
    </row>
    <row r="630" spans="1:7">
      <c r="A630" s="8" t="s">
        <v>14</v>
      </c>
      <c r="B630">
        <v>200899</v>
      </c>
      <c r="C630" t="s">
        <v>133</v>
      </c>
      <c r="D630" t="s">
        <v>161</v>
      </c>
      <c r="E630" s="9">
        <v>0.24607999999999999</v>
      </c>
      <c r="F630" s="10">
        <v>10140</v>
      </c>
      <c r="G630" s="11">
        <v>41.21</v>
      </c>
    </row>
    <row r="631" spans="1:7">
      <c r="A631" s="8" t="s">
        <v>14</v>
      </c>
      <c r="B631">
        <v>200899</v>
      </c>
      <c r="C631" t="s">
        <v>133</v>
      </c>
      <c r="D631" t="s">
        <v>128</v>
      </c>
      <c r="E631" s="9">
        <v>2.7168000000000001</v>
      </c>
      <c r="F631" s="10">
        <v>62518</v>
      </c>
      <c r="G631" s="11">
        <v>23.01</v>
      </c>
    </row>
    <row r="632" spans="1:7">
      <c r="A632" s="8" t="s">
        <v>14</v>
      </c>
      <c r="B632">
        <v>200899</v>
      </c>
      <c r="C632" t="s">
        <v>133</v>
      </c>
      <c r="D632" t="s">
        <v>129</v>
      </c>
      <c r="E632" s="9">
        <v>606.49249999999995</v>
      </c>
      <c r="F632" s="10">
        <v>12301627</v>
      </c>
      <c r="G632" s="11">
        <v>20.28</v>
      </c>
    </row>
    <row r="633" spans="1:7">
      <c r="A633" s="8" t="s">
        <v>14</v>
      </c>
      <c r="B633">
        <v>200899</v>
      </c>
      <c r="C633" t="s">
        <v>133</v>
      </c>
      <c r="D633" t="s">
        <v>178</v>
      </c>
      <c r="E633" s="9">
        <v>0.21199999999999999</v>
      </c>
      <c r="F633" s="10">
        <v>2103</v>
      </c>
      <c r="G633" s="11">
        <v>9.92</v>
      </c>
    </row>
    <row r="634" spans="1:7">
      <c r="A634" s="8" t="s">
        <v>14</v>
      </c>
      <c r="B634">
        <v>200899</v>
      </c>
      <c r="C634" t="s">
        <v>133</v>
      </c>
      <c r="D634" t="s">
        <v>130</v>
      </c>
      <c r="E634" s="9">
        <v>7949.64</v>
      </c>
      <c r="F634" s="10">
        <v>175863031</v>
      </c>
      <c r="G634" s="11">
        <v>22.12</v>
      </c>
    </row>
    <row r="635" spans="1:7">
      <c r="A635" s="8" t="s">
        <v>14</v>
      </c>
      <c r="B635">
        <v>200899</v>
      </c>
      <c r="C635" t="s">
        <v>133</v>
      </c>
      <c r="D635" t="s">
        <v>162</v>
      </c>
      <c r="E635" s="9">
        <v>2.1110000000000002</v>
      </c>
      <c r="F635" s="10">
        <v>3672</v>
      </c>
      <c r="G635" s="11">
        <v>1.74</v>
      </c>
    </row>
    <row r="636" spans="1:7">
      <c r="A636" s="8" t="s">
        <v>14</v>
      </c>
      <c r="B636">
        <v>200899</v>
      </c>
      <c r="C636" t="s">
        <v>133</v>
      </c>
      <c r="D636" t="s">
        <v>131</v>
      </c>
      <c r="E636" s="9">
        <v>12.886480000000001</v>
      </c>
      <c r="F636" s="10">
        <v>247382</v>
      </c>
      <c r="G636" s="11">
        <v>19.2</v>
      </c>
    </row>
    <row r="637" spans="1:7">
      <c r="A637" s="8" t="s">
        <v>14</v>
      </c>
      <c r="B637">
        <v>200899</v>
      </c>
      <c r="C637" t="s">
        <v>133</v>
      </c>
      <c r="D637" t="s">
        <v>132</v>
      </c>
      <c r="E637" s="9">
        <v>2.3029500000000001</v>
      </c>
      <c r="F637" s="10">
        <v>80120</v>
      </c>
      <c r="G637" s="11">
        <v>34.79</v>
      </c>
    </row>
    <row r="638" spans="1:7">
      <c r="A638" s="8" t="s">
        <v>14</v>
      </c>
      <c r="B638">
        <v>200899</v>
      </c>
      <c r="C638" t="s">
        <v>133</v>
      </c>
      <c r="D638" t="s">
        <v>163</v>
      </c>
      <c r="E638" s="9">
        <v>1E-3</v>
      </c>
      <c r="F638" s="10">
        <v>6</v>
      </c>
      <c r="G638" s="11">
        <v>6</v>
      </c>
    </row>
    <row r="639" spans="1:7">
      <c r="A639" s="8" t="s">
        <v>15</v>
      </c>
      <c r="B639">
        <v>121221</v>
      </c>
      <c r="C639" t="s">
        <v>40</v>
      </c>
      <c r="D639" t="s">
        <v>41</v>
      </c>
      <c r="E639" s="9">
        <v>29680.840400000001</v>
      </c>
      <c r="F639" s="10">
        <v>476561517</v>
      </c>
      <c r="G639" s="11">
        <v>16.059999999999999</v>
      </c>
    </row>
    <row r="640" spans="1:7">
      <c r="A640" s="8" t="s">
        <v>15</v>
      </c>
      <c r="B640">
        <v>121221</v>
      </c>
      <c r="C640" t="s">
        <v>40</v>
      </c>
      <c r="D640" t="s">
        <v>134</v>
      </c>
      <c r="E640" s="9">
        <v>0.23371800000000001</v>
      </c>
      <c r="F640" s="10">
        <v>1082</v>
      </c>
      <c r="G640" s="11">
        <v>4.63</v>
      </c>
    </row>
    <row r="641" spans="1:7">
      <c r="A641" s="8" t="s">
        <v>15</v>
      </c>
      <c r="B641">
        <v>121221</v>
      </c>
      <c r="C641" t="s">
        <v>40</v>
      </c>
      <c r="D641" t="s">
        <v>42</v>
      </c>
      <c r="E641" s="9">
        <v>1.4999999999999999E-2</v>
      </c>
      <c r="F641" s="10">
        <v>393</v>
      </c>
      <c r="G641" s="11">
        <v>26.2</v>
      </c>
    </row>
    <row r="642" spans="1:7">
      <c r="A642" s="8" t="s">
        <v>15</v>
      </c>
      <c r="B642">
        <v>121221</v>
      </c>
      <c r="C642" t="s">
        <v>40</v>
      </c>
      <c r="D642" t="s">
        <v>164</v>
      </c>
      <c r="E642" s="9">
        <v>4.7564000000000002</v>
      </c>
      <c r="F642" s="10">
        <v>155032</v>
      </c>
      <c r="G642" s="11">
        <v>32.590000000000003</v>
      </c>
    </row>
    <row r="643" spans="1:7">
      <c r="A643" s="8" t="s">
        <v>15</v>
      </c>
      <c r="B643">
        <v>121221</v>
      </c>
      <c r="C643" t="s">
        <v>40</v>
      </c>
      <c r="D643" t="s">
        <v>43</v>
      </c>
      <c r="E643" s="9">
        <v>0.1135</v>
      </c>
      <c r="F643" s="10">
        <v>2702</v>
      </c>
      <c r="G643" s="11">
        <v>23.81</v>
      </c>
    </row>
    <row r="644" spans="1:7">
      <c r="A644" s="8" t="s">
        <v>15</v>
      </c>
      <c r="B644">
        <v>121221</v>
      </c>
      <c r="C644" t="s">
        <v>40</v>
      </c>
      <c r="D644" t="s">
        <v>44</v>
      </c>
      <c r="E644" s="9">
        <v>146.98934</v>
      </c>
      <c r="F644" s="10">
        <v>1378382</v>
      </c>
      <c r="G644" s="11">
        <v>9.3800000000000008</v>
      </c>
    </row>
    <row r="645" spans="1:7">
      <c r="A645" s="8" t="s">
        <v>15</v>
      </c>
      <c r="B645">
        <v>121221</v>
      </c>
      <c r="C645" t="s">
        <v>40</v>
      </c>
      <c r="D645" t="s">
        <v>45</v>
      </c>
      <c r="E645" s="9">
        <v>4.3022999999999998</v>
      </c>
      <c r="F645" s="10">
        <v>36927</v>
      </c>
      <c r="G645" s="11">
        <v>8.58</v>
      </c>
    </row>
    <row r="646" spans="1:7">
      <c r="A646" s="8" t="s">
        <v>15</v>
      </c>
      <c r="B646">
        <v>121221</v>
      </c>
      <c r="C646" t="s">
        <v>40</v>
      </c>
      <c r="D646" t="s">
        <v>46</v>
      </c>
      <c r="E646" s="9">
        <v>1.56298</v>
      </c>
      <c r="F646" s="10">
        <v>72820</v>
      </c>
      <c r="G646" s="11">
        <v>46.59</v>
      </c>
    </row>
    <row r="647" spans="1:7">
      <c r="A647" s="8" t="s">
        <v>15</v>
      </c>
      <c r="B647">
        <v>121221</v>
      </c>
      <c r="C647" t="s">
        <v>40</v>
      </c>
      <c r="D647" t="s">
        <v>47</v>
      </c>
      <c r="E647" s="9">
        <v>9.5549999999999996E-2</v>
      </c>
      <c r="F647" s="10">
        <v>1367</v>
      </c>
      <c r="G647" s="11">
        <v>14.31</v>
      </c>
    </row>
    <row r="648" spans="1:7">
      <c r="A648" s="8" t="s">
        <v>15</v>
      </c>
      <c r="B648">
        <v>121221</v>
      </c>
      <c r="C648" t="s">
        <v>40</v>
      </c>
      <c r="D648" t="s">
        <v>48</v>
      </c>
      <c r="E648" s="9">
        <v>0.29985000000000001</v>
      </c>
      <c r="F648" s="10">
        <v>2741</v>
      </c>
      <c r="G648" s="11">
        <v>9.14</v>
      </c>
    </row>
    <row r="649" spans="1:7">
      <c r="A649" s="8" t="s">
        <v>15</v>
      </c>
      <c r="B649">
        <v>121221</v>
      </c>
      <c r="C649" t="s">
        <v>40</v>
      </c>
      <c r="D649" t="s">
        <v>135</v>
      </c>
      <c r="E649" s="9">
        <v>1.2E-2</v>
      </c>
      <c r="F649" s="10">
        <v>550</v>
      </c>
      <c r="G649" s="11">
        <v>45.83</v>
      </c>
    </row>
    <row r="650" spans="1:7">
      <c r="A650" s="8" t="s">
        <v>15</v>
      </c>
      <c r="B650">
        <v>121221</v>
      </c>
      <c r="C650" t="s">
        <v>40</v>
      </c>
      <c r="D650" t="s">
        <v>49</v>
      </c>
      <c r="E650" s="9">
        <v>1.22051</v>
      </c>
      <c r="F650" s="10">
        <v>5451</v>
      </c>
      <c r="G650" s="11">
        <v>4.47</v>
      </c>
    </row>
    <row r="651" spans="1:7">
      <c r="A651" s="8" t="s">
        <v>15</v>
      </c>
      <c r="B651">
        <v>121221</v>
      </c>
      <c r="C651" t="s">
        <v>40</v>
      </c>
      <c r="D651" t="s">
        <v>50</v>
      </c>
      <c r="E651" s="9">
        <v>10.058590000000001</v>
      </c>
      <c r="F651" s="10">
        <v>72060</v>
      </c>
      <c r="G651" s="11">
        <v>7.16</v>
      </c>
    </row>
    <row r="652" spans="1:7">
      <c r="A652" s="8" t="s">
        <v>15</v>
      </c>
      <c r="B652">
        <v>121221</v>
      </c>
      <c r="C652" t="s">
        <v>40</v>
      </c>
      <c r="D652" t="s">
        <v>51</v>
      </c>
      <c r="E652" s="9">
        <v>0.37</v>
      </c>
      <c r="F652" s="10">
        <v>6834</v>
      </c>
      <c r="G652" s="11">
        <v>18.47</v>
      </c>
    </row>
    <row r="653" spans="1:7">
      <c r="A653" s="8" t="s">
        <v>15</v>
      </c>
      <c r="B653">
        <v>121221</v>
      </c>
      <c r="C653" t="s">
        <v>40</v>
      </c>
      <c r="D653" t="s">
        <v>136</v>
      </c>
      <c r="E653" s="9">
        <v>0.22040000000000001</v>
      </c>
      <c r="F653" s="10">
        <v>4634</v>
      </c>
      <c r="G653" s="11">
        <v>21.03</v>
      </c>
    </row>
    <row r="654" spans="1:7">
      <c r="A654" s="8" t="s">
        <v>15</v>
      </c>
      <c r="B654">
        <v>121221</v>
      </c>
      <c r="C654" t="s">
        <v>40</v>
      </c>
      <c r="D654" t="s">
        <v>52</v>
      </c>
      <c r="E654" s="9">
        <v>2.9683459999999999</v>
      </c>
      <c r="F654" s="10">
        <v>73719</v>
      </c>
      <c r="G654" s="11">
        <v>24.84</v>
      </c>
    </row>
    <row r="655" spans="1:7">
      <c r="A655" s="8" t="s">
        <v>15</v>
      </c>
      <c r="B655">
        <v>121221</v>
      </c>
      <c r="C655" t="s">
        <v>40</v>
      </c>
      <c r="D655" t="s">
        <v>53</v>
      </c>
      <c r="E655" s="9">
        <v>2.2748550000000001</v>
      </c>
      <c r="F655" s="10">
        <v>37873</v>
      </c>
      <c r="G655" s="11">
        <v>16.649999999999999</v>
      </c>
    </row>
    <row r="656" spans="1:7">
      <c r="A656" s="8" t="s">
        <v>15</v>
      </c>
      <c r="B656">
        <v>121221</v>
      </c>
      <c r="C656" t="s">
        <v>40</v>
      </c>
      <c r="D656" t="s">
        <v>54</v>
      </c>
      <c r="E656" s="9">
        <v>112.51391</v>
      </c>
      <c r="F656" s="10">
        <v>696190</v>
      </c>
      <c r="G656" s="11">
        <v>6.19</v>
      </c>
    </row>
    <row r="657" spans="1:7">
      <c r="A657" s="8" t="s">
        <v>15</v>
      </c>
      <c r="B657">
        <v>121221</v>
      </c>
      <c r="C657" t="s">
        <v>40</v>
      </c>
      <c r="D657" t="s">
        <v>55</v>
      </c>
      <c r="E657" s="9">
        <v>2.0281199999999999</v>
      </c>
      <c r="F657" s="10">
        <v>21615</v>
      </c>
      <c r="G657" s="11">
        <v>10.66</v>
      </c>
    </row>
    <row r="658" spans="1:7">
      <c r="A658" s="8" t="s">
        <v>15</v>
      </c>
      <c r="B658">
        <v>121221</v>
      </c>
      <c r="C658" t="s">
        <v>40</v>
      </c>
      <c r="D658" t="s">
        <v>56</v>
      </c>
      <c r="E658" s="9">
        <v>4648.7417999999998</v>
      </c>
      <c r="F658" s="10">
        <v>54496097</v>
      </c>
      <c r="G658" s="11">
        <v>11.72</v>
      </c>
    </row>
    <row r="659" spans="1:7">
      <c r="A659" s="8" t="s">
        <v>15</v>
      </c>
      <c r="B659">
        <v>121221</v>
      </c>
      <c r="C659" t="s">
        <v>40</v>
      </c>
      <c r="D659" t="s">
        <v>57</v>
      </c>
      <c r="E659" s="9">
        <v>11.754799999999999</v>
      </c>
      <c r="F659" s="10">
        <v>469497</v>
      </c>
      <c r="G659" s="11">
        <v>39.94</v>
      </c>
    </row>
    <row r="660" spans="1:7">
      <c r="A660" s="8" t="s">
        <v>15</v>
      </c>
      <c r="B660">
        <v>121221</v>
      </c>
      <c r="C660" t="s">
        <v>40</v>
      </c>
      <c r="D660" t="s">
        <v>139</v>
      </c>
      <c r="E660" s="9">
        <v>0.18543999999999999</v>
      </c>
      <c r="F660" s="10">
        <v>1779</v>
      </c>
      <c r="G660" s="11">
        <v>9.59</v>
      </c>
    </row>
    <row r="661" spans="1:7">
      <c r="A661" s="8" t="s">
        <v>15</v>
      </c>
      <c r="B661">
        <v>121221</v>
      </c>
      <c r="C661" t="s">
        <v>40</v>
      </c>
      <c r="D661" t="s">
        <v>58</v>
      </c>
      <c r="E661" s="9">
        <v>1.95E-2</v>
      </c>
      <c r="F661" s="10">
        <v>826</v>
      </c>
      <c r="G661" s="11">
        <v>42.36</v>
      </c>
    </row>
    <row r="662" spans="1:7">
      <c r="A662" s="8" t="s">
        <v>15</v>
      </c>
      <c r="B662">
        <v>121221</v>
      </c>
      <c r="C662" t="s">
        <v>40</v>
      </c>
      <c r="D662" t="s">
        <v>59</v>
      </c>
      <c r="E662" s="9">
        <v>1.81</v>
      </c>
      <c r="F662" s="10">
        <v>27318</v>
      </c>
      <c r="G662" s="11">
        <v>15.09</v>
      </c>
    </row>
    <row r="663" spans="1:7">
      <c r="A663" s="8" t="s">
        <v>15</v>
      </c>
      <c r="B663">
        <v>121221</v>
      </c>
      <c r="C663" t="s">
        <v>40</v>
      </c>
      <c r="D663" t="s">
        <v>61</v>
      </c>
      <c r="E663" s="9">
        <v>0.216</v>
      </c>
      <c r="F663" s="10">
        <v>635</v>
      </c>
      <c r="G663" s="11">
        <v>2.94</v>
      </c>
    </row>
    <row r="664" spans="1:7">
      <c r="A664" s="8" t="s">
        <v>15</v>
      </c>
      <c r="B664">
        <v>121221</v>
      </c>
      <c r="C664" t="s">
        <v>40</v>
      </c>
      <c r="D664" t="s">
        <v>140</v>
      </c>
      <c r="E664" s="9">
        <v>0.3402</v>
      </c>
      <c r="F664" s="10">
        <v>10485</v>
      </c>
      <c r="G664" s="11">
        <v>30.82</v>
      </c>
    </row>
    <row r="665" spans="1:7">
      <c r="A665" s="8" t="s">
        <v>15</v>
      </c>
      <c r="B665">
        <v>121221</v>
      </c>
      <c r="C665" t="s">
        <v>40</v>
      </c>
      <c r="D665" t="s">
        <v>63</v>
      </c>
      <c r="E665" s="9">
        <v>21.062215999999999</v>
      </c>
      <c r="F665" s="10">
        <v>424008</v>
      </c>
      <c r="G665" s="11">
        <v>20.13</v>
      </c>
    </row>
    <row r="666" spans="1:7">
      <c r="A666" s="8" t="s">
        <v>15</v>
      </c>
      <c r="B666">
        <v>121221</v>
      </c>
      <c r="C666" t="s">
        <v>40</v>
      </c>
      <c r="D666" t="s">
        <v>64</v>
      </c>
      <c r="E666" s="9">
        <v>13.448401</v>
      </c>
      <c r="F666" s="10">
        <v>132580</v>
      </c>
      <c r="G666" s="11">
        <v>9.86</v>
      </c>
    </row>
    <row r="667" spans="1:7">
      <c r="A667" s="8" t="s">
        <v>15</v>
      </c>
      <c r="B667">
        <v>121221</v>
      </c>
      <c r="C667" t="s">
        <v>40</v>
      </c>
      <c r="D667" t="s">
        <v>144</v>
      </c>
      <c r="E667" s="9">
        <v>7.0000000000000007E-2</v>
      </c>
      <c r="F667" s="10">
        <v>1445</v>
      </c>
      <c r="G667" s="11">
        <v>20.64</v>
      </c>
    </row>
    <row r="668" spans="1:7">
      <c r="A668" s="8" t="s">
        <v>15</v>
      </c>
      <c r="B668">
        <v>121221</v>
      </c>
      <c r="C668" t="s">
        <v>40</v>
      </c>
      <c r="D668" t="s">
        <v>174</v>
      </c>
      <c r="E668" s="9">
        <v>0.316</v>
      </c>
      <c r="F668" s="10">
        <v>6404</v>
      </c>
      <c r="G668" s="11">
        <v>20.27</v>
      </c>
    </row>
    <row r="669" spans="1:7">
      <c r="A669" s="8" t="s">
        <v>15</v>
      </c>
      <c r="B669">
        <v>121221</v>
      </c>
      <c r="C669" t="s">
        <v>40</v>
      </c>
      <c r="D669" t="s">
        <v>66</v>
      </c>
      <c r="E669" s="9">
        <v>2.9989699999999999</v>
      </c>
      <c r="F669" s="10">
        <v>22051</v>
      </c>
      <c r="G669" s="11">
        <v>7.35</v>
      </c>
    </row>
    <row r="670" spans="1:7">
      <c r="A670" s="8" t="s">
        <v>15</v>
      </c>
      <c r="B670">
        <v>121221</v>
      </c>
      <c r="C670" t="s">
        <v>40</v>
      </c>
      <c r="D670" t="s">
        <v>67</v>
      </c>
      <c r="E670" s="9">
        <v>3.0824099999999999</v>
      </c>
      <c r="F670" s="10">
        <v>21991</v>
      </c>
      <c r="G670" s="11">
        <v>7.13</v>
      </c>
    </row>
    <row r="671" spans="1:7">
      <c r="A671" s="8" t="s">
        <v>15</v>
      </c>
      <c r="B671">
        <v>121221</v>
      </c>
      <c r="C671" t="s">
        <v>40</v>
      </c>
      <c r="D671" t="s">
        <v>70</v>
      </c>
      <c r="E671" s="9">
        <v>30.395</v>
      </c>
      <c r="F671" s="10">
        <v>562887</v>
      </c>
      <c r="G671" s="11">
        <v>18.52</v>
      </c>
    </row>
    <row r="672" spans="1:7">
      <c r="A672" s="8" t="s">
        <v>15</v>
      </c>
      <c r="B672">
        <v>121221</v>
      </c>
      <c r="C672" t="s">
        <v>40</v>
      </c>
      <c r="D672" t="s">
        <v>71</v>
      </c>
      <c r="E672" s="9">
        <v>0.19556000000000001</v>
      </c>
      <c r="F672" s="10">
        <v>3775</v>
      </c>
      <c r="G672" s="11">
        <v>19.3</v>
      </c>
    </row>
    <row r="673" spans="1:7">
      <c r="A673" s="8" t="s">
        <v>15</v>
      </c>
      <c r="B673">
        <v>121221</v>
      </c>
      <c r="C673" t="s">
        <v>40</v>
      </c>
      <c r="D673" t="s">
        <v>72</v>
      </c>
      <c r="E673" s="9">
        <v>1589.7164</v>
      </c>
      <c r="F673" s="10">
        <v>25142469</v>
      </c>
      <c r="G673" s="11">
        <v>15.82</v>
      </c>
    </row>
    <row r="674" spans="1:7">
      <c r="A674" s="8" t="s">
        <v>15</v>
      </c>
      <c r="B674">
        <v>121221</v>
      </c>
      <c r="C674" t="s">
        <v>40</v>
      </c>
      <c r="D674" t="s">
        <v>73</v>
      </c>
      <c r="E674" s="9">
        <v>0.54137100000000005</v>
      </c>
      <c r="F674" s="10">
        <v>8644</v>
      </c>
      <c r="G674" s="11">
        <v>15.97</v>
      </c>
    </row>
    <row r="675" spans="1:7">
      <c r="A675" s="8" t="s">
        <v>15</v>
      </c>
      <c r="B675">
        <v>121221</v>
      </c>
      <c r="C675" t="s">
        <v>40</v>
      </c>
      <c r="D675" t="s">
        <v>75</v>
      </c>
      <c r="E675" s="9">
        <v>2.1259999999999999</v>
      </c>
      <c r="F675" s="10">
        <v>82475</v>
      </c>
      <c r="G675" s="11">
        <v>38.79</v>
      </c>
    </row>
    <row r="676" spans="1:7">
      <c r="A676" s="8" t="s">
        <v>15</v>
      </c>
      <c r="B676">
        <v>121221</v>
      </c>
      <c r="C676" t="s">
        <v>40</v>
      </c>
      <c r="D676" t="s">
        <v>76</v>
      </c>
      <c r="E676" s="9">
        <v>0.19650000000000001</v>
      </c>
      <c r="F676" s="10">
        <v>4296</v>
      </c>
      <c r="G676" s="11">
        <v>21.86</v>
      </c>
    </row>
    <row r="677" spans="1:7">
      <c r="A677" s="8" t="s">
        <v>15</v>
      </c>
      <c r="B677">
        <v>121221</v>
      </c>
      <c r="C677" t="s">
        <v>40</v>
      </c>
      <c r="D677" t="s">
        <v>78</v>
      </c>
      <c r="E677" s="9">
        <v>12597.53</v>
      </c>
      <c r="F677" s="10">
        <v>151087938</v>
      </c>
      <c r="G677" s="11">
        <v>11.99</v>
      </c>
    </row>
    <row r="678" spans="1:7">
      <c r="A678" s="8" t="s">
        <v>15</v>
      </c>
      <c r="B678">
        <v>121221</v>
      </c>
      <c r="C678" t="s">
        <v>40</v>
      </c>
      <c r="D678" t="s">
        <v>79</v>
      </c>
      <c r="E678" s="9">
        <v>70.143739999999994</v>
      </c>
      <c r="F678" s="10">
        <v>1660365</v>
      </c>
      <c r="G678" s="11">
        <v>23.67</v>
      </c>
    </row>
    <row r="679" spans="1:7">
      <c r="A679" s="8" t="s">
        <v>15</v>
      </c>
      <c r="B679">
        <v>121221</v>
      </c>
      <c r="C679" t="s">
        <v>40</v>
      </c>
      <c r="D679" t="s">
        <v>80</v>
      </c>
      <c r="E679" s="9">
        <v>1.181</v>
      </c>
      <c r="F679" s="10">
        <v>8091</v>
      </c>
      <c r="G679" s="11">
        <v>6.85</v>
      </c>
    </row>
    <row r="680" spans="1:7">
      <c r="A680" s="8" t="s">
        <v>15</v>
      </c>
      <c r="B680">
        <v>121221</v>
      </c>
      <c r="C680" t="s">
        <v>40</v>
      </c>
      <c r="D680" t="s">
        <v>81</v>
      </c>
      <c r="E680" s="9">
        <v>0.24931</v>
      </c>
      <c r="F680" s="10">
        <v>3180</v>
      </c>
      <c r="G680" s="11">
        <v>12.76</v>
      </c>
    </row>
    <row r="681" spans="1:7">
      <c r="A681" s="8" t="s">
        <v>15</v>
      </c>
      <c r="B681">
        <v>121221</v>
      </c>
      <c r="C681" t="s">
        <v>40</v>
      </c>
      <c r="D681" t="s">
        <v>82</v>
      </c>
      <c r="E681" s="9">
        <v>0.13739999999999999</v>
      </c>
      <c r="F681" s="10">
        <v>3481</v>
      </c>
      <c r="G681" s="11">
        <v>25.33</v>
      </c>
    </row>
    <row r="682" spans="1:7">
      <c r="A682" s="8" t="s">
        <v>15</v>
      </c>
      <c r="B682">
        <v>121221</v>
      </c>
      <c r="C682" t="s">
        <v>40</v>
      </c>
      <c r="D682" t="s">
        <v>83</v>
      </c>
      <c r="E682" s="9">
        <v>1.9872099999999999</v>
      </c>
      <c r="F682" s="10">
        <v>37042</v>
      </c>
      <c r="G682" s="11">
        <v>18.64</v>
      </c>
    </row>
    <row r="683" spans="1:7">
      <c r="A683" s="8" t="s">
        <v>15</v>
      </c>
      <c r="B683">
        <v>121221</v>
      </c>
      <c r="C683" t="s">
        <v>40</v>
      </c>
      <c r="D683" t="s">
        <v>146</v>
      </c>
      <c r="E683" s="9">
        <v>1.28064</v>
      </c>
      <c r="F683" s="10">
        <v>84974</v>
      </c>
      <c r="G683" s="11">
        <v>66.349999999999994</v>
      </c>
    </row>
    <row r="684" spans="1:7">
      <c r="A684" s="8" t="s">
        <v>15</v>
      </c>
      <c r="B684">
        <v>121221</v>
      </c>
      <c r="C684" t="s">
        <v>40</v>
      </c>
      <c r="D684" t="s">
        <v>85</v>
      </c>
      <c r="E684" s="9">
        <v>4.4999999999999998E-2</v>
      </c>
      <c r="F684" s="10">
        <v>499</v>
      </c>
      <c r="G684" s="11">
        <v>11.09</v>
      </c>
    </row>
    <row r="685" spans="1:7">
      <c r="A685" s="8" t="s">
        <v>15</v>
      </c>
      <c r="B685">
        <v>121221</v>
      </c>
      <c r="C685" t="s">
        <v>40</v>
      </c>
      <c r="D685" t="s">
        <v>86</v>
      </c>
      <c r="E685" s="9">
        <v>97.330479999999994</v>
      </c>
      <c r="F685" s="10">
        <v>2757801</v>
      </c>
      <c r="G685" s="11">
        <v>28.33</v>
      </c>
    </row>
    <row r="686" spans="1:7">
      <c r="A686" s="8" t="s">
        <v>15</v>
      </c>
      <c r="B686">
        <v>121221</v>
      </c>
      <c r="C686" t="s">
        <v>40</v>
      </c>
      <c r="D686" t="s">
        <v>149</v>
      </c>
      <c r="E686" s="9">
        <v>2E-3</v>
      </c>
      <c r="F686" s="10">
        <v>120</v>
      </c>
      <c r="G686" s="11">
        <v>60</v>
      </c>
    </row>
    <row r="687" spans="1:7">
      <c r="A687" s="8" t="s">
        <v>15</v>
      </c>
      <c r="B687">
        <v>121221</v>
      </c>
      <c r="C687" t="s">
        <v>40</v>
      </c>
      <c r="D687" t="s">
        <v>88</v>
      </c>
      <c r="E687" s="9">
        <v>18.156490000000002</v>
      </c>
      <c r="F687" s="10">
        <v>417241</v>
      </c>
      <c r="G687" s="11">
        <v>22.98</v>
      </c>
    </row>
    <row r="688" spans="1:7">
      <c r="A688" s="8" t="s">
        <v>15</v>
      </c>
      <c r="B688">
        <v>121221</v>
      </c>
      <c r="C688" t="s">
        <v>40</v>
      </c>
      <c r="D688" t="s">
        <v>168</v>
      </c>
      <c r="E688" s="9">
        <v>8.4529999999999994E-2</v>
      </c>
      <c r="F688" s="10">
        <v>1379</v>
      </c>
      <c r="G688" s="11">
        <v>16.309999999999999</v>
      </c>
    </row>
    <row r="689" spans="1:7">
      <c r="A689" s="8" t="s">
        <v>15</v>
      </c>
      <c r="B689">
        <v>121221</v>
      </c>
      <c r="C689" t="s">
        <v>40</v>
      </c>
      <c r="D689" t="s">
        <v>90</v>
      </c>
      <c r="E689" s="9">
        <v>136.59245000000001</v>
      </c>
      <c r="F689" s="10">
        <v>3290185</v>
      </c>
      <c r="G689" s="11">
        <v>24.09</v>
      </c>
    </row>
    <row r="690" spans="1:7">
      <c r="A690" s="8" t="s">
        <v>15</v>
      </c>
      <c r="B690">
        <v>121221</v>
      </c>
      <c r="C690" t="s">
        <v>40</v>
      </c>
      <c r="D690" t="s">
        <v>91</v>
      </c>
      <c r="E690" s="9">
        <v>1076.9602</v>
      </c>
      <c r="F690" s="10">
        <v>30244440</v>
      </c>
      <c r="G690" s="11">
        <v>28.08</v>
      </c>
    </row>
    <row r="691" spans="1:7">
      <c r="A691" s="8" t="s">
        <v>15</v>
      </c>
      <c r="B691">
        <v>121221</v>
      </c>
      <c r="C691" t="s">
        <v>40</v>
      </c>
      <c r="D691" t="s">
        <v>92</v>
      </c>
      <c r="E691" s="9">
        <v>115.07772</v>
      </c>
      <c r="F691" s="10">
        <v>1583802</v>
      </c>
      <c r="G691" s="11">
        <v>13.76</v>
      </c>
    </row>
    <row r="692" spans="1:7">
      <c r="A692" s="8" t="s">
        <v>15</v>
      </c>
      <c r="B692">
        <v>121221</v>
      </c>
      <c r="C692" t="s">
        <v>40</v>
      </c>
      <c r="D692" t="s">
        <v>94</v>
      </c>
      <c r="E692" s="9">
        <v>0.23</v>
      </c>
      <c r="F692" s="10">
        <v>3483</v>
      </c>
      <c r="G692" s="11">
        <v>15.14</v>
      </c>
    </row>
    <row r="693" spans="1:7">
      <c r="A693" s="8" t="s">
        <v>15</v>
      </c>
      <c r="B693">
        <v>121221</v>
      </c>
      <c r="C693" t="s">
        <v>40</v>
      </c>
      <c r="D693" t="s">
        <v>95</v>
      </c>
      <c r="E693" s="9">
        <v>62.297289999999997</v>
      </c>
      <c r="F693" s="10">
        <v>806033</v>
      </c>
      <c r="G693" s="11">
        <v>12.94</v>
      </c>
    </row>
    <row r="694" spans="1:7">
      <c r="A694" s="8" t="s">
        <v>15</v>
      </c>
      <c r="B694">
        <v>121221</v>
      </c>
      <c r="C694" t="s">
        <v>40</v>
      </c>
      <c r="D694" t="s">
        <v>170</v>
      </c>
      <c r="E694" s="9">
        <v>6.25E-2</v>
      </c>
      <c r="F694" s="10">
        <v>690</v>
      </c>
      <c r="G694" s="11">
        <v>11.04</v>
      </c>
    </row>
    <row r="695" spans="1:7">
      <c r="A695" s="8" t="s">
        <v>15</v>
      </c>
      <c r="B695">
        <v>121221</v>
      </c>
      <c r="C695" t="s">
        <v>40</v>
      </c>
      <c r="D695" t="s">
        <v>153</v>
      </c>
      <c r="E695" s="9">
        <v>4.8199999999999996E-3</v>
      </c>
      <c r="F695" s="10">
        <v>108</v>
      </c>
      <c r="G695" s="11">
        <v>22.41</v>
      </c>
    </row>
    <row r="696" spans="1:7">
      <c r="A696" s="8" t="s">
        <v>15</v>
      </c>
      <c r="B696">
        <v>121221</v>
      </c>
      <c r="C696" t="s">
        <v>40</v>
      </c>
      <c r="D696" t="s">
        <v>97</v>
      </c>
      <c r="E696" s="9">
        <v>22.673279999999998</v>
      </c>
      <c r="F696" s="10">
        <v>160437</v>
      </c>
      <c r="G696" s="11">
        <v>7.08</v>
      </c>
    </row>
    <row r="697" spans="1:7">
      <c r="A697" s="8" t="s">
        <v>15</v>
      </c>
      <c r="B697">
        <v>121221</v>
      </c>
      <c r="C697" t="s">
        <v>40</v>
      </c>
      <c r="D697" t="s">
        <v>154</v>
      </c>
      <c r="E697" s="9">
        <v>8.5999999999999993E-2</v>
      </c>
      <c r="F697" s="10">
        <v>1958</v>
      </c>
      <c r="G697" s="11">
        <v>22.77</v>
      </c>
    </row>
    <row r="698" spans="1:7">
      <c r="A698" s="8" t="s">
        <v>15</v>
      </c>
      <c r="B698">
        <v>121221</v>
      </c>
      <c r="C698" t="s">
        <v>40</v>
      </c>
      <c r="D698" t="s">
        <v>98</v>
      </c>
      <c r="E698" s="9">
        <v>4.8225619999999996</v>
      </c>
      <c r="F698" s="10">
        <v>30148</v>
      </c>
      <c r="G698" s="11">
        <v>6.25</v>
      </c>
    </row>
    <row r="699" spans="1:7">
      <c r="A699" s="8" t="s">
        <v>15</v>
      </c>
      <c r="B699">
        <v>121221</v>
      </c>
      <c r="C699" t="s">
        <v>40</v>
      </c>
      <c r="D699" t="s">
        <v>99</v>
      </c>
      <c r="E699" s="9">
        <v>1.3098000000000001</v>
      </c>
      <c r="F699" s="10">
        <v>79184</v>
      </c>
      <c r="G699" s="11">
        <v>60.46</v>
      </c>
    </row>
    <row r="700" spans="1:7">
      <c r="A700" s="8" t="s">
        <v>15</v>
      </c>
      <c r="B700">
        <v>121221</v>
      </c>
      <c r="C700" t="s">
        <v>40</v>
      </c>
      <c r="D700" t="s">
        <v>100</v>
      </c>
      <c r="E700" s="9">
        <v>1.8460000000000001</v>
      </c>
      <c r="F700" s="10">
        <v>14456</v>
      </c>
      <c r="G700" s="11">
        <v>7.83</v>
      </c>
    </row>
    <row r="701" spans="1:7">
      <c r="A701" s="8" t="s">
        <v>15</v>
      </c>
      <c r="B701">
        <v>121221</v>
      </c>
      <c r="C701" t="s">
        <v>40</v>
      </c>
      <c r="D701" t="s">
        <v>101</v>
      </c>
      <c r="E701" s="9">
        <v>3.4000000000000002E-2</v>
      </c>
      <c r="F701" s="10">
        <v>1271</v>
      </c>
      <c r="G701" s="11">
        <v>37.380000000000003</v>
      </c>
    </row>
    <row r="702" spans="1:7">
      <c r="A702" s="8" t="s">
        <v>15</v>
      </c>
      <c r="B702">
        <v>121221</v>
      </c>
      <c r="C702" t="s">
        <v>40</v>
      </c>
      <c r="D702" t="s">
        <v>102</v>
      </c>
      <c r="E702" s="9">
        <v>1.2E-2</v>
      </c>
      <c r="F702" s="10">
        <v>189</v>
      </c>
      <c r="G702" s="11">
        <v>15.75</v>
      </c>
    </row>
    <row r="703" spans="1:7">
      <c r="A703" s="8" t="s">
        <v>15</v>
      </c>
      <c r="B703">
        <v>121221</v>
      </c>
      <c r="C703" t="s">
        <v>40</v>
      </c>
      <c r="D703" t="s">
        <v>103</v>
      </c>
      <c r="E703" s="9">
        <v>0.26029000000000002</v>
      </c>
      <c r="F703" s="10">
        <v>2186</v>
      </c>
      <c r="G703" s="11">
        <v>8.4</v>
      </c>
    </row>
    <row r="704" spans="1:7">
      <c r="A704" s="8" t="s">
        <v>15</v>
      </c>
      <c r="B704">
        <v>121221</v>
      </c>
      <c r="C704" t="s">
        <v>40</v>
      </c>
      <c r="D704" t="s">
        <v>104</v>
      </c>
      <c r="E704" s="9">
        <v>0.49980000000000002</v>
      </c>
      <c r="F704" s="10">
        <v>5281</v>
      </c>
      <c r="G704" s="11">
        <v>10.57</v>
      </c>
    </row>
    <row r="705" spans="1:7">
      <c r="A705" s="8" t="s">
        <v>15</v>
      </c>
      <c r="B705">
        <v>121221</v>
      </c>
      <c r="C705" t="s">
        <v>40</v>
      </c>
      <c r="D705" t="s">
        <v>105</v>
      </c>
      <c r="E705" s="9">
        <v>21.1386</v>
      </c>
      <c r="F705" s="10">
        <v>82334</v>
      </c>
      <c r="G705" s="11">
        <v>3.89</v>
      </c>
    </row>
    <row r="706" spans="1:7">
      <c r="A706" s="8" t="s">
        <v>15</v>
      </c>
      <c r="B706">
        <v>121221</v>
      </c>
      <c r="C706" t="s">
        <v>40</v>
      </c>
      <c r="D706" t="s">
        <v>106</v>
      </c>
      <c r="E706" s="9">
        <v>168.71181999999999</v>
      </c>
      <c r="F706" s="10">
        <v>2059274</v>
      </c>
      <c r="G706" s="11">
        <v>12.21</v>
      </c>
    </row>
    <row r="707" spans="1:7">
      <c r="A707" s="8" t="s">
        <v>15</v>
      </c>
      <c r="B707">
        <v>121221</v>
      </c>
      <c r="C707" t="s">
        <v>40</v>
      </c>
      <c r="D707" t="s">
        <v>107</v>
      </c>
      <c r="E707" s="9">
        <v>16.862259999999999</v>
      </c>
      <c r="F707" s="10">
        <v>275558</v>
      </c>
      <c r="G707" s="11">
        <v>16.34</v>
      </c>
    </row>
    <row r="708" spans="1:7">
      <c r="A708" s="8" t="s">
        <v>15</v>
      </c>
      <c r="B708">
        <v>121221</v>
      </c>
      <c r="C708" t="s">
        <v>40</v>
      </c>
      <c r="D708" t="s">
        <v>108</v>
      </c>
      <c r="E708" s="9">
        <v>1.1859999999999999</v>
      </c>
      <c r="F708" s="10">
        <v>37200</v>
      </c>
      <c r="G708" s="11">
        <v>31.37</v>
      </c>
    </row>
    <row r="709" spans="1:7">
      <c r="A709" s="8" t="s">
        <v>15</v>
      </c>
      <c r="B709">
        <v>121221</v>
      </c>
      <c r="C709" t="s">
        <v>40</v>
      </c>
      <c r="D709" t="s">
        <v>158</v>
      </c>
      <c r="E709" s="9">
        <v>3.6799999999999999E-2</v>
      </c>
      <c r="F709" s="10">
        <v>860</v>
      </c>
      <c r="G709" s="11">
        <v>23.37</v>
      </c>
    </row>
    <row r="710" spans="1:7">
      <c r="A710" s="8" t="s">
        <v>15</v>
      </c>
      <c r="B710">
        <v>121221</v>
      </c>
      <c r="C710" t="s">
        <v>40</v>
      </c>
      <c r="D710" t="s">
        <v>109</v>
      </c>
      <c r="E710" s="9">
        <v>2140.6738</v>
      </c>
      <c r="F710" s="10">
        <v>69296175</v>
      </c>
      <c r="G710" s="11">
        <v>32.369999999999997</v>
      </c>
    </row>
    <row r="711" spans="1:7">
      <c r="A711" s="8" t="s">
        <v>15</v>
      </c>
      <c r="B711">
        <v>121221</v>
      </c>
      <c r="C711" t="s">
        <v>40</v>
      </c>
      <c r="D711" t="s">
        <v>110</v>
      </c>
      <c r="E711" s="9">
        <v>1.946</v>
      </c>
      <c r="F711" s="10">
        <v>38784</v>
      </c>
      <c r="G711" s="11">
        <v>19.93</v>
      </c>
    </row>
    <row r="712" spans="1:7">
      <c r="A712" s="8" t="s">
        <v>15</v>
      </c>
      <c r="B712">
        <v>121221</v>
      </c>
      <c r="C712" t="s">
        <v>40</v>
      </c>
      <c r="D712" t="s">
        <v>112</v>
      </c>
      <c r="E712" s="9">
        <v>0.10872</v>
      </c>
      <c r="F712" s="10">
        <v>2001</v>
      </c>
      <c r="G712" s="11">
        <v>18.41</v>
      </c>
    </row>
    <row r="713" spans="1:7">
      <c r="A713" s="8" t="s">
        <v>15</v>
      </c>
      <c r="B713">
        <v>121221</v>
      </c>
      <c r="C713" t="s">
        <v>40</v>
      </c>
      <c r="D713" t="s">
        <v>113</v>
      </c>
      <c r="E713" s="9">
        <v>3.7300800000000001</v>
      </c>
      <c r="F713" s="10">
        <v>37943</v>
      </c>
      <c r="G713" s="11">
        <v>10.17</v>
      </c>
    </row>
    <row r="714" spans="1:7">
      <c r="A714" s="8" t="s">
        <v>15</v>
      </c>
      <c r="B714">
        <v>121221</v>
      </c>
      <c r="C714" t="s">
        <v>40</v>
      </c>
      <c r="D714" t="s">
        <v>114</v>
      </c>
      <c r="E714" s="9">
        <v>90.173112000000003</v>
      </c>
      <c r="F714" s="10">
        <v>2092056</v>
      </c>
      <c r="G714" s="11">
        <v>23.2</v>
      </c>
    </row>
    <row r="715" spans="1:7">
      <c r="A715" s="8" t="s">
        <v>15</v>
      </c>
      <c r="B715">
        <v>121221</v>
      </c>
      <c r="C715" t="s">
        <v>40</v>
      </c>
      <c r="D715" t="s">
        <v>116</v>
      </c>
      <c r="E715" s="9">
        <v>775.15170000000001</v>
      </c>
      <c r="F715" s="10">
        <v>14584914</v>
      </c>
      <c r="G715" s="11">
        <v>18.82</v>
      </c>
    </row>
    <row r="716" spans="1:7">
      <c r="A716" s="8" t="s">
        <v>15</v>
      </c>
      <c r="B716">
        <v>121221</v>
      </c>
      <c r="C716" t="s">
        <v>40</v>
      </c>
      <c r="D716" t="s">
        <v>118</v>
      </c>
      <c r="E716" s="9">
        <v>7.5999999999999998E-2</v>
      </c>
      <c r="F716" s="10">
        <v>1651</v>
      </c>
      <c r="G716" s="11">
        <v>21.72</v>
      </c>
    </row>
    <row r="717" spans="1:7">
      <c r="A717" s="8" t="s">
        <v>15</v>
      </c>
      <c r="B717">
        <v>121221</v>
      </c>
      <c r="C717" t="s">
        <v>40</v>
      </c>
      <c r="D717" t="s">
        <v>119</v>
      </c>
      <c r="E717" s="9">
        <v>28.69</v>
      </c>
      <c r="F717" s="10">
        <v>1029999</v>
      </c>
      <c r="G717" s="11">
        <v>35.9</v>
      </c>
    </row>
    <row r="718" spans="1:7">
      <c r="A718" s="8" t="s">
        <v>15</v>
      </c>
      <c r="B718">
        <v>121221</v>
      </c>
      <c r="C718" t="s">
        <v>40</v>
      </c>
      <c r="D718" t="s">
        <v>120</v>
      </c>
      <c r="E718" s="9">
        <v>0.13325000000000001</v>
      </c>
      <c r="F718" s="10">
        <v>2604</v>
      </c>
      <c r="G718" s="11">
        <v>19.54</v>
      </c>
    </row>
    <row r="719" spans="1:7">
      <c r="A719" s="8" t="s">
        <v>15</v>
      </c>
      <c r="B719">
        <v>121221</v>
      </c>
      <c r="C719" t="s">
        <v>40</v>
      </c>
      <c r="D719" t="s">
        <v>121</v>
      </c>
      <c r="E719" s="9">
        <v>0.19220000000000001</v>
      </c>
      <c r="F719" s="10">
        <v>4613</v>
      </c>
      <c r="G719" s="11">
        <v>24</v>
      </c>
    </row>
    <row r="720" spans="1:7">
      <c r="A720" s="8" t="s">
        <v>15</v>
      </c>
      <c r="B720">
        <v>121221</v>
      </c>
      <c r="C720" t="s">
        <v>40</v>
      </c>
      <c r="D720" t="s">
        <v>122</v>
      </c>
      <c r="E720" s="9">
        <v>3567.1722</v>
      </c>
      <c r="F720" s="10">
        <v>86090789</v>
      </c>
      <c r="G720" s="11">
        <v>24.13</v>
      </c>
    </row>
    <row r="721" spans="1:7">
      <c r="A721" s="8" t="s">
        <v>15</v>
      </c>
      <c r="B721">
        <v>121221</v>
      </c>
      <c r="C721" t="s">
        <v>40</v>
      </c>
      <c r="D721" t="s">
        <v>177</v>
      </c>
      <c r="E721" s="9">
        <v>5.0000000000000001E-3</v>
      </c>
      <c r="F721" s="10">
        <v>115</v>
      </c>
      <c r="G721" s="11">
        <v>23</v>
      </c>
    </row>
    <row r="722" spans="1:7">
      <c r="A722" s="8" t="s">
        <v>15</v>
      </c>
      <c r="B722">
        <v>121221</v>
      </c>
      <c r="C722" t="s">
        <v>40</v>
      </c>
      <c r="D722" t="s">
        <v>124</v>
      </c>
      <c r="E722" s="9">
        <v>3.4015399999999998</v>
      </c>
      <c r="F722" s="10">
        <v>60233</v>
      </c>
      <c r="G722" s="11">
        <v>17.71</v>
      </c>
    </row>
    <row r="723" spans="1:7">
      <c r="A723" s="8" t="s">
        <v>15</v>
      </c>
      <c r="B723">
        <v>121221</v>
      </c>
      <c r="C723" t="s">
        <v>40</v>
      </c>
      <c r="D723" t="s">
        <v>126</v>
      </c>
      <c r="E723" s="9">
        <v>23.0944</v>
      </c>
      <c r="F723" s="10">
        <v>801827</v>
      </c>
      <c r="G723" s="11">
        <v>34.72</v>
      </c>
    </row>
    <row r="724" spans="1:7">
      <c r="A724" s="8" t="s">
        <v>15</v>
      </c>
      <c r="B724">
        <v>121221</v>
      </c>
      <c r="C724" t="s">
        <v>40</v>
      </c>
      <c r="D724" t="s">
        <v>127</v>
      </c>
      <c r="E724" s="9">
        <v>1.96065</v>
      </c>
      <c r="F724" s="10">
        <v>50416</v>
      </c>
      <c r="G724" s="11">
        <v>25.71</v>
      </c>
    </row>
    <row r="725" spans="1:7">
      <c r="A725" s="8" t="s">
        <v>15</v>
      </c>
      <c r="B725">
        <v>121221</v>
      </c>
      <c r="C725" t="s">
        <v>40</v>
      </c>
      <c r="D725" t="s">
        <v>129</v>
      </c>
      <c r="E725" s="9">
        <v>35.795000000000002</v>
      </c>
      <c r="F725" s="10">
        <v>462147</v>
      </c>
      <c r="G725" s="11">
        <v>12.91</v>
      </c>
    </row>
    <row r="726" spans="1:7">
      <c r="A726" s="8" t="s">
        <v>15</v>
      </c>
      <c r="B726">
        <v>121221</v>
      </c>
      <c r="C726" t="s">
        <v>40</v>
      </c>
      <c r="D726" t="s">
        <v>130</v>
      </c>
      <c r="E726" s="9">
        <v>1971.7791</v>
      </c>
      <c r="F726" s="10">
        <v>23263400</v>
      </c>
      <c r="G726" s="11">
        <v>11.8</v>
      </c>
    </row>
    <row r="727" spans="1:7">
      <c r="A727" s="8" t="s">
        <v>15</v>
      </c>
      <c r="B727">
        <v>121221</v>
      </c>
      <c r="C727" t="s">
        <v>40</v>
      </c>
      <c r="D727" t="s">
        <v>162</v>
      </c>
      <c r="E727" s="9">
        <v>1.2500000000000001E-2</v>
      </c>
      <c r="F727" s="10">
        <v>420</v>
      </c>
      <c r="G727" s="11">
        <v>33.6</v>
      </c>
    </row>
    <row r="728" spans="1:7">
      <c r="A728" s="8" t="s">
        <v>15</v>
      </c>
      <c r="B728">
        <v>121221</v>
      </c>
      <c r="C728" t="s">
        <v>40</v>
      </c>
      <c r="D728" t="s">
        <v>131</v>
      </c>
      <c r="E728" s="9">
        <v>0.56010000000000004</v>
      </c>
      <c r="F728" s="10">
        <v>8882</v>
      </c>
      <c r="G728" s="11">
        <v>15.86</v>
      </c>
    </row>
    <row r="729" spans="1:7">
      <c r="A729" s="8" t="s">
        <v>15</v>
      </c>
      <c r="B729">
        <v>121221</v>
      </c>
      <c r="C729" t="s">
        <v>40</v>
      </c>
      <c r="D729" t="s">
        <v>132</v>
      </c>
      <c r="E729" s="9">
        <v>0.10112</v>
      </c>
      <c r="F729" s="10">
        <v>1326</v>
      </c>
      <c r="G729" s="11">
        <v>13.11</v>
      </c>
    </row>
    <row r="730" spans="1:7">
      <c r="A730" s="8" t="s">
        <v>15</v>
      </c>
      <c r="B730">
        <v>200899</v>
      </c>
      <c r="C730" t="s">
        <v>133</v>
      </c>
      <c r="D730" t="s">
        <v>41</v>
      </c>
      <c r="E730" s="9">
        <v>26955.258969999999</v>
      </c>
      <c r="F730" s="10">
        <v>636476615</v>
      </c>
      <c r="G730" s="11">
        <v>23.61</v>
      </c>
    </row>
    <row r="731" spans="1:7">
      <c r="A731" s="8" t="s">
        <v>15</v>
      </c>
      <c r="B731">
        <v>200899</v>
      </c>
      <c r="C731" t="s">
        <v>133</v>
      </c>
      <c r="D731" t="s">
        <v>171</v>
      </c>
      <c r="E731" s="9">
        <v>1.7000000000000001E-2</v>
      </c>
      <c r="F731" s="10">
        <v>903</v>
      </c>
      <c r="G731" s="11">
        <v>53.12</v>
      </c>
    </row>
    <row r="732" spans="1:7">
      <c r="A732" s="8" t="s">
        <v>15</v>
      </c>
      <c r="B732">
        <v>200899</v>
      </c>
      <c r="C732" t="s">
        <v>133</v>
      </c>
      <c r="D732" t="s">
        <v>134</v>
      </c>
      <c r="E732" s="9">
        <v>4.7871999999999998E-2</v>
      </c>
      <c r="F732" s="10">
        <v>222</v>
      </c>
      <c r="G732" s="11">
        <v>4.6399999999999997</v>
      </c>
    </row>
    <row r="733" spans="1:7">
      <c r="A733" s="8" t="s">
        <v>15</v>
      </c>
      <c r="B733">
        <v>200899</v>
      </c>
      <c r="C733" t="s">
        <v>133</v>
      </c>
      <c r="D733" t="s">
        <v>166</v>
      </c>
      <c r="E733" s="9">
        <v>4.0000000000000002E-4</v>
      </c>
      <c r="F733" s="10">
        <v>3</v>
      </c>
      <c r="G733" s="11">
        <v>7.5</v>
      </c>
    </row>
    <row r="734" spans="1:7">
      <c r="A734" s="8" t="s">
        <v>15</v>
      </c>
      <c r="B734">
        <v>200899</v>
      </c>
      <c r="C734" t="s">
        <v>133</v>
      </c>
      <c r="D734" t="s">
        <v>164</v>
      </c>
      <c r="E734" s="9">
        <v>3.1369500000000001</v>
      </c>
      <c r="F734" s="10">
        <v>103725</v>
      </c>
      <c r="G734" s="11">
        <v>33.07</v>
      </c>
    </row>
    <row r="735" spans="1:7">
      <c r="A735" s="8" t="s">
        <v>15</v>
      </c>
      <c r="B735">
        <v>200899</v>
      </c>
      <c r="C735" t="s">
        <v>133</v>
      </c>
      <c r="D735" t="s">
        <v>43</v>
      </c>
      <c r="E735" s="9">
        <v>1.65856</v>
      </c>
      <c r="F735" s="10">
        <v>38922</v>
      </c>
      <c r="G735" s="11">
        <v>23.47</v>
      </c>
    </row>
    <row r="736" spans="1:7">
      <c r="A736" s="8" t="s">
        <v>15</v>
      </c>
      <c r="B736">
        <v>200899</v>
      </c>
      <c r="C736" t="s">
        <v>133</v>
      </c>
      <c r="D736" t="s">
        <v>44</v>
      </c>
      <c r="E736" s="9">
        <v>1041.4366</v>
      </c>
      <c r="F736" s="10">
        <v>23721298</v>
      </c>
      <c r="G736" s="11">
        <v>22.78</v>
      </c>
    </row>
    <row r="737" spans="1:7">
      <c r="A737" s="8" t="s">
        <v>15</v>
      </c>
      <c r="B737">
        <v>200899</v>
      </c>
      <c r="C737" t="s">
        <v>133</v>
      </c>
      <c r="D737" t="s">
        <v>45</v>
      </c>
      <c r="E737" s="9">
        <v>30.284662999999998</v>
      </c>
      <c r="F737" s="10">
        <v>263207</v>
      </c>
      <c r="G737" s="11">
        <v>8.69</v>
      </c>
    </row>
    <row r="738" spans="1:7">
      <c r="A738" s="8" t="s">
        <v>15</v>
      </c>
      <c r="B738">
        <v>200899</v>
      </c>
      <c r="C738" t="s">
        <v>133</v>
      </c>
      <c r="D738" t="s">
        <v>46</v>
      </c>
      <c r="E738" s="9">
        <v>0.49097000000000002</v>
      </c>
      <c r="F738" s="10">
        <v>23027</v>
      </c>
      <c r="G738" s="11">
        <v>46.9</v>
      </c>
    </row>
    <row r="739" spans="1:7">
      <c r="A739" s="8" t="s">
        <v>15</v>
      </c>
      <c r="B739">
        <v>200899</v>
      </c>
      <c r="C739" t="s">
        <v>133</v>
      </c>
      <c r="D739" t="s">
        <v>47</v>
      </c>
      <c r="E739" s="9">
        <v>1.6443700000000001</v>
      </c>
      <c r="F739" s="10">
        <v>37298</v>
      </c>
      <c r="G739" s="11">
        <v>22.68</v>
      </c>
    </row>
    <row r="740" spans="1:7">
      <c r="A740" s="8" t="s">
        <v>15</v>
      </c>
      <c r="B740">
        <v>200899</v>
      </c>
      <c r="C740" t="s">
        <v>133</v>
      </c>
      <c r="D740" t="s">
        <v>48</v>
      </c>
      <c r="E740" s="9">
        <v>464.58370000000002</v>
      </c>
      <c r="F740" s="10">
        <v>1425888</v>
      </c>
      <c r="G740" s="11">
        <v>3.07</v>
      </c>
    </row>
    <row r="741" spans="1:7">
      <c r="A741" s="8" t="s">
        <v>15</v>
      </c>
      <c r="B741">
        <v>200899</v>
      </c>
      <c r="C741" t="s">
        <v>133</v>
      </c>
      <c r="D741" t="s">
        <v>135</v>
      </c>
      <c r="E741" s="9">
        <v>5.2233999999999998</v>
      </c>
      <c r="F741" s="10">
        <v>54612</v>
      </c>
      <c r="G741" s="11">
        <v>10.46</v>
      </c>
    </row>
    <row r="742" spans="1:7">
      <c r="A742" s="8" t="s">
        <v>15</v>
      </c>
      <c r="B742">
        <v>200899</v>
      </c>
      <c r="C742" t="s">
        <v>133</v>
      </c>
      <c r="D742" t="s">
        <v>49</v>
      </c>
      <c r="E742" s="9">
        <v>3.5507300000000002</v>
      </c>
      <c r="F742" s="10">
        <v>143259</v>
      </c>
      <c r="G742" s="11">
        <v>40.35</v>
      </c>
    </row>
    <row r="743" spans="1:7">
      <c r="A743" s="8" t="s">
        <v>15</v>
      </c>
      <c r="B743">
        <v>200899</v>
      </c>
      <c r="C743" t="s">
        <v>133</v>
      </c>
      <c r="D743" t="s">
        <v>167</v>
      </c>
      <c r="E743" s="9">
        <v>0.16800000000000001</v>
      </c>
      <c r="F743" s="10">
        <v>6258</v>
      </c>
      <c r="G743" s="11">
        <v>37.25</v>
      </c>
    </row>
    <row r="744" spans="1:7">
      <c r="A744" s="8" t="s">
        <v>15</v>
      </c>
      <c r="B744">
        <v>200899</v>
      </c>
      <c r="C744" t="s">
        <v>133</v>
      </c>
      <c r="D744" t="s">
        <v>183</v>
      </c>
      <c r="E744" s="9">
        <v>4.0000000000000002E-4</v>
      </c>
      <c r="F744" s="10">
        <v>3</v>
      </c>
      <c r="G744" s="11">
        <v>7.5</v>
      </c>
    </row>
    <row r="745" spans="1:7">
      <c r="A745" s="8" t="s">
        <v>15</v>
      </c>
      <c r="B745">
        <v>200899</v>
      </c>
      <c r="C745" t="s">
        <v>133</v>
      </c>
      <c r="D745" t="s">
        <v>50</v>
      </c>
      <c r="E745" s="9">
        <v>69.757840000000002</v>
      </c>
      <c r="F745" s="10">
        <v>1678371</v>
      </c>
      <c r="G745" s="11">
        <v>24.06</v>
      </c>
    </row>
    <row r="746" spans="1:7">
      <c r="A746" s="8" t="s">
        <v>15</v>
      </c>
      <c r="B746">
        <v>200899</v>
      </c>
      <c r="C746" t="s">
        <v>133</v>
      </c>
      <c r="D746" t="s">
        <v>51</v>
      </c>
      <c r="E746" s="9">
        <v>2.5536279999999998</v>
      </c>
      <c r="F746" s="10">
        <v>65968</v>
      </c>
      <c r="G746" s="11">
        <v>25.83</v>
      </c>
    </row>
    <row r="747" spans="1:7">
      <c r="A747" s="8" t="s">
        <v>15</v>
      </c>
      <c r="B747">
        <v>200899</v>
      </c>
      <c r="C747" t="s">
        <v>133</v>
      </c>
      <c r="D747" t="s">
        <v>136</v>
      </c>
      <c r="E747" s="9">
        <v>7.7449729999999999</v>
      </c>
      <c r="F747" s="10">
        <v>256144</v>
      </c>
      <c r="G747" s="11">
        <v>33.07</v>
      </c>
    </row>
    <row r="748" spans="1:7">
      <c r="A748" s="8" t="s">
        <v>15</v>
      </c>
      <c r="B748">
        <v>200899</v>
      </c>
      <c r="C748" t="s">
        <v>133</v>
      </c>
      <c r="D748" t="s">
        <v>52</v>
      </c>
      <c r="E748" s="9">
        <v>8.9238219999999995</v>
      </c>
      <c r="F748" s="10">
        <v>192202</v>
      </c>
      <c r="G748" s="11">
        <v>21.54</v>
      </c>
    </row>
    <row r="749" spans="1:7">
      <c r="A749" s="8" t="s">
        <v>15</v>
      </c>
      <c r="B749">
        <v>200899</v>
      </c>
      <c r="C749" t="s">
        <v>133</v>
      </c>
      <c r="D749" t="s">
        <v>53</v>
      </c>
      <c r="E749" s="9">
        <v>46.161709999999999</v>
      </c>
      <c r="F749" s="10">
        <v>1151751</v>
      </c>
      <c r="G749" s="11">
        <v>24.95</v>
      </c>
    </row>
    <row r="750" spans="1:7">
      <c r="A750" s="8" t="s">
        <v>15</v>
      </c>
      <c r="B750">
        <v>200899</v>
      </c>
      <c r="C750" t="s">
        <v>133</v>
      </c>
      <c r="D750" t="s">
        <v>54</v>
      </c>
      <c r="E750" s="9">
        <v>928.90120000000002</v>
      </c>
      <c r="F750" s="10">
        <v>31788755</v>
      </c>
      <c r="G750" s="11">
        <v>34.22</v>
      </c>
    </row>
    <row r="751" spans="1:7">
      <c r="A751" s="8" t="s">
        <v>15</v>
      </c>
      <c r="B751">
        <v>200899</v>
      </c>
      <c r="C751" t="s">
        <v>133</v>
      </c>
      <c r="D751" t="s">
        <v>184</v>
      </c>
      <c r="E751" s="9">
        <v>2.1999999999999999E-5</v>
      </c>
      <c r="F751" s="10">
        <v>1</v>
      </c>
      <c r="G751" s="11">
        <v>45.45</v>
      </c>
    </row>
    <row r="752" spans="1:7">
      <c r="A752" s="8" t="s">
        <v>15</v>
      </c>
      <c r="B752">
        <v>200899</v>
      </c>
      <c r="C752" t="s">
        <v>133</v>
      </c>
      <c r="D752" t="s">
        <v>172</v>
      </c>
      <c r="E752" s="9">
        <v>0.16980000000000001</v>
      </c>
      <c r="F752" s="10">
        <v>1909</v>
      </c>
      <c r="G752" s="11">
        <v>11.24</v>
      </c>
    </row>
    <row r="753" spans="1:7">
      <c r="A753" s="8" t="s">
        <v>15</v>
      </c>
      <c r="B753">
        <v>200899</v>
      </c>
      <c r="C753" t="s">
        <v>133</v>
      </c>
      <c r="D753" t="s">
        <v>55</v>
      </c>
      <c r="E753" s="9">
        <v>50.975670000000001</v>
      </c>
      <c r="F753" s="10">
        <v>1320598</v>
      </c>
      <c r="G753" s="11">
        <v>25.91</v>
      </c>
    </row>
    <row r="754" spans="1:7">
      <c r="A754" s="8" t="s">
        <v>15</v>
      </c>
      <c r="B754">
        <v>200899</v>
      </c>
      <c r="C754" t="s">
        <v>133</v>
      </c>
      <c r="D754" t="s">
        <v>56</v>
      </c>
      <c r="E754" s="9">
        <v>2460.1909999999998</v>
      </c>
      <c r="F754" s="10">
        <v>38726684</v>
      </c>
      <c r="G754" s="11">
        <v>15.74</v>
      </c>
    </row>
    <row r="755" spans="1:7">
      <c r="A755" s="8" t="s">
        <v>15</v>
      </c>
      <c r="B755">
        <v>200899</v>
      </c>
      <c r="C755" t="s">
        <v>133</v>
      </c>
      <c r="D755" t="s">
        <v>57</v>
      </c>
      <c r="E755" s="9">
        <v>2.2250399999999999</v>
      </c>
      <c r="F755" s="10">
        <v>54075</v>
      </c>
      <c r="G755" s="11">
        <v>24.3</v>
      </c>
    </row>
    <row r="756" spans="1:7">
      <c r="A756" s="8" t="s">
        <v>15</v>
      </c>
      <c r="B756">
        <v>200899</v>
      </c>
      <c r="C756" t="s">
        <v>133</v>
      </c>
      <c r="D756" t="s">
        <v>139</v>
      </c>
      <c r="E756" s="9">
        <v>0.15948000000000001</v>
      </c>
      <c r="F756" s="10">
        <v>7165</v>
      </c>
      <c r="G756" s="11">
        <v>44.93</v>
      </c>
    </row>
    <row r="757" spans="1:7">
      <c r="A757" s="8" t="s">
        <v>15</v>
      </c>
      <c r="B757">
        <v>200899</v>
      </c>
      <c r="C757" t="s">
        <v>133</v>
      </c>
      <c r="D757" t="s">
        <v>59</v>
      </c>
      <c r="E757" s="9">
        <v>65.244609999999994</v>
      </c>
      <c r="F757" s="10">
        <v>476319</v>
      </c>
      <c r="G757" s="11">
        <v>7.3</v>
      </c>
    </row>
    <row r="758" spans="1:7">
      <c r="A758" s="8" t="s">
        <v>15</v>
      </c>
      <c r="B758">
        <v>200899</v>
      </c>
      <c r="C758" t="s">
        <v>133</v>
      </c>
      <c r="D758" t="s">
        <v>60</v>
      </c>
      <c r="E758" s="9">
        <v>89.166539999999998</v>
      </c>
      <c r="F758" s="10">
        <v>290894</v>
      </c>
      <c r="G758" s="11">
        <v>3.26</v>
      </c>
    </row>
    <row r="759" spans="1:7">
      <c r="A759" s="8" t="s">
        <v>15</v>
      </c>
      <c r="B759">
        <v>200899</v>
      </c>
      <c r="C759" t="s">
        <v>133</v>
      </c>
      <c r="D759" t="s">
        <v>61</v>
      </c>
      <c r="E759" s="9">
        <v>0.47216999999999998</v>
      </c>
      <c r="F759" s="10">
        <v>10646</v>
      </c>
      <c r="G759" s="11">
        <v>22.55</v>
      </c>
    </row>
    <row r="760" spans="1:7">
      <c r="A760" s="8" t="s">
        <v>15</v>
      </c>
      <c r="B760">
        <v>200899</v>
      </c>
      <c r="C760" t="s">
        <v>133</v>
      </c>
      <c r="D760" t="s">
        <v>140</v>
      </c>
      <c r="E760" s="9">
        <v>1.3766</v>
      </c>
      <c r="F760" s="10">
        <v>54077</v>
      </c>
      <c r="G760" s="11">
        <v>39.28</v>
      </c>
    </row>
    <row r="761" spans="1:7">
      <c r="A761" s="8" t="s">
        <v>15</v>
      </c>
      <c r="B761">
        <v>200899</v>
      </c>
      <c r="C761" t="s">
        <v>133</v>
      </c>
      <c r="D761" t="s">
        <v>185</v>
      </c>
      <c r="E761" s="9">
        <v>4.0000000000000002E-4</v>
      </c>
      <c r="F761" s="10">
        <v>3</v>
      </c>
      <c r="G761" s="11">
        <v>7.5</v>
      </c>
    </row>
    <row r="762" spans="1:7">
      <c r="A762" s="8" t="s">
        <v>15</v>
      </c>
      <c r="B762">
        <v>200899</v>
      </c>
      <c r="C762" t="s">
        <v>133</v>
      </c>
      <c r="D762" t="s">
        <v>141</v>
      </c>
      <c r="E762" s="9">
        <v>1.84714</v>
      </c>
      <c r="F762" s="10">
        <v>68538</v>
      </c>
      <c r="G762" s="11">
        <v>37.1</v>
      </c>
    </row>
    <row r="763" spans="1:7">
      <c r="A763" s="8" t="s">
        <v>15</v>
      </c>
      <c r="B763">
        <v>200899</v>
      </c>
      <c r="C763" t="s">
        <v>133</v>
      </c>
      <c r="D763" t="s">
        <v>62</v>
      </c>
      <c r="E763" s="9">
        <v>0.60589999999999999</v>
      </c>
      <c r="F763" s="10">
        <v>26505</v>
      </c>
      <c r="G763" s="11">
        <v>43.74</v>
      </c>
    </row>
    <row r="764" spans="1:7">
      <c r="A764" s="8" t="s">
        <v>15</v>
      </c>
      <c r="B764">
        <v>200899</v>
      </c>
      <c r="C764" t="s">
        <v>133</v>
      </c>
      <c r="D764" t="s">
        <v>142</v>
      </c>
      <c r="E764" s="9">
        <v>3.3236599999999998</v>
      </c>
      <c r="F764" s="10">
        <v>121876</v>
      </c>
      <c r="G764" s="11">
        <v>36.67</v>
      </c>
    </row>
    <row r="765" spans="1:7">
      <c r="A765" s="8" t="s">
        <v>15</v>
      </c>
      <c r="B765">
        <v>200899</v>
      </c>
      <c r="C765" t="s">
        <v>133</v>
      </c>
      <c r="D765" t="s">
        <v>63</v>
      </c>
      <c r="E765" s="9">
        <v>257.59820000000002</v>
      </c>
      <c r="F765" s="10">
        <v>6667903</v>
      </c>
      <c r="G765" s="11">
        <v>25.88</v>
      </c>
    </row>
    <row r="766" spans="1:7">
      <c r="A766" s="8" t="s">
        <v>15</v>
      </c>
      <c r="B766">
        <v>200899</v>
      </c>
      <c r="C766" t="s">
        <v>133</v>
      </c>
      <c r="D766" t="s">
        <v>143</v>
      </c>
      <c r="E766" s="9">
        <v>4.28</v>
      </c>
      <c r="F766" s="10">
        <v>153470</v>
      </c>
      <c r="G766" s="11">
        <v>35.86</v>
      </c>
    </row>
    <row r="767" spans="1:7">
      <c r="A767" s="8" t="s">
        <v>15</v>
      </c>
      <c r="B767">
        <v>200899</v>
      </c>
      <c r="C767" t="s">
        <v>133</v>
      </c>
      <c r="D767" t="s">
        <v>64</v>
      </c>
      <c r="E767" s="9">
        <v>493.80939999999998</v>
      </c>
      <c r="F767" s="10">
        <v>15430881</v>
      </c>
      <c r="G767" s="11">
        <v>31.25</v>
      </c>
    </row>
    <row r="768" spans="1:7">
      <c r="A768" s="8" t="s">
        <v>15</v>
      </c>
      <c r="B768">
        <v>200899</v>
      </c>
      <c r="C768" t="s">
        <v>133</v>
      </c>
      <c r="D768" t="s">
        <v>65</v>
      </c>
      <c r="E768" s="9">
        <v>8.3406000000000002</v>
      </c>
      <c r="F768" s="10">
        <v>295198</v>
      </c>
      <c r="G768" s="11">
        <v>35.39</v>
      </c>
    </row>
    <row r="769" spans="1:7">
      <c r="A769" s="8" t="s">
        <v>15</v>
      </c>
      <c r="B769">
        <v>200899</v>
      </c>
      <c r="C769" t="s">
        <v>133</v>
      </c>
      <c r="D769" t="s">
        <v>66</v>
      </c>
      <c r="E769" s="9">
        <v>15.85432</v>
      </c>
      <c r="F769" s="10">
        <v>304912</v>
      </c>
      <c r="G769" s="11">
        <v>19.23</v>
      </c>
    </row>
    <row r="770" spans="1:7">
      <c r="A770" s="8" t="s">
        <v>15</v>
      </c>
      <c r="B770">
        <v>200899</v>
      </c>
      <c r="C770" t="s">
        <v>133</v>
      </c>
      <c r="D770" t="s">
        <v>67</v>
      </c>
      <c r="E770" s="9">
        <v>6.2537099999999999</v>
      </c>
      <c r="F770" s="10">
        <v>153514</v>
      </c>
      <c r="G770" s="11">
        <v>24.55</v>
      </c>
    </row>
    <row r="771" spans="1:7">
      <c r="A771" s="8" t="s">
        <v>15</v>
      </c>
      <c r="B771">
        <v>200899</v>
      </c>
      <c r="C771" t="s">
        <v>133</v>
      </c>
      <c r="D771" t="s">
        <v>68</v>
      </c>
      <c r="E771" s="9">
        <v>4.0099999999999997E-3</v>
      </c>
      <c r="F771" s="10">
        <v>19</v>
      </c>
      <c r="G771" s="11">
        <v>4.74</v>
      </c>
    </row>
    <row r="772" spans="1:7">
      <c r="A772" s="8" t="s">
        <v>15</v>
      </c>
      <c r="B772">
        <v>200899</v>
      </c>
      <c r="C772" t="s">
        <v>133</v>
      </c>
      <c r="D772" t="s">
        <v>69</v>
      </c>
      <c r="E772" s="9">
        <v>7.0440000000000003E-2</v>
      </c>
      <c r="F772" s="10">
        <v>768</v>
      </c>
      <c r="G772" s="11">
        <v>10.9</v>
      </c>
    </row>
    <row r="773" spans="1:7">
      <c r="A773" s="8" t="s">
        <v>15</v>
      </c>
      <c r="B773">
        <v>200899</v>
      </c>
      <c r="C773" t="s">
        <v>133</v>
      </c>
      <c r="D773" t="s">
        <v>175</v>
      </c>
      <c r="E773" s="9">
        <v>0.56200000000000006</v>
      </c>
      <c r="F773" s="10">
        <v>8754</v>
      </c>
      <c r="G773" s="11">
        <v>15.58</v>
      </c>
    </row>
    <row r="774" spans="1:7">
      <c r="A774" s="8" t="s">
        <v>15</v>
      </c>
      <c r="B774">
        <v>200899</v>
      </c>
      <c r="C774" t="s">
        <v>133</v>
      </c>
      <c r="D774" t="s">
        <v>70</v>
      </c>
      <c r="E774" s="9">
        <v>365.50360000000001</v>
      </c>
      <c r="F774" s="10">
        <v>8417889</v>
      </c>
      <c r="G774" s="11">
        <v>23.03</v>
      </c>
    </row>
    <row r="775" spans="1:7">
      <c r="A775" s="8" t="s">
        <v>15</v>
      </c>
      <c r="B775">
        <v>200899</v>
      </c>
      <c r="C775" t="s">
        <v>133</v>
      </c>
      <c r="D775" t="s">
        <v>71</v>
      </c>
      <c r="E775" s="9">
        <v>14.446894</v>
      </c>
      <c r="F775" s="10">
        <v>63303</v>
      </c>
      <c r="G775" s="11">
        <v>4.38</v>
      </c>
    </row>
    <row r="776" spans="1:7">
      <c r="A776" s="8" t="s">
        <v>15</v>
      </c>
      <c r="B776">
        <v>200899</v>
      </c>
      <c r="C776" t="s">
        <v>133</v>
      </c>
      <c r="D776" t="s">
        <v>186</v>
      </c>
      <c r="E776" s="9">
        <v>2.92E-4</v>
      </c>
      <c r="F776" s="10">
        <v>8</v>
      </c>
      <c r="G776" s="11">
        <v>27.4</v>
      </c>
    </row>
    <row r="777" spans="1:7">
      <c r="A777" s="8" t="s">
        <v>15</v>
      </c>
      <c r="B777">
        <v>200899</v>
      </c>
      <c r="C777" t="s">
        <v>133</v>
      </c>
      <c r="D777" t="s">
        <v>72</v>
      </c>
      <c r="E777" s="9">
        <v>344.44709999999998</v>
      </c>
      <c r="F777" s="10">
        <v>11295629</v>
      </c>
      <c r="G777" s="11">
        <v>32.79</v>
      </c>
    </row>
    <row r="778" spans="1:7">
      <c r="A778" s="8" t="s">
        <v>15</v>
      </c>
      <c r="B778">
        <v>200899</v>
      </c>
      <c r="C778" t="s">
        <v>133</v>
      </c>
      <c r="D778" t="s">
        <v>73</v>
      </c>
      <c r="E778" s="9">
        <v>0.68121399999999999</v>
      </c>
      <c r="F778" s="10">
        <v>15437</v>
      </c>
      <c r="G778" s="11">
        <v>22.66</v>
      </c>
    </row>
    <row r="779" spans="1:7">
      <c r="A779" s="8" t="s">
        <v>15</v>
      </c>
      <c r="B779">
        <v>200899</v>
      </c>
      <c r="C779" t="s">
        <v>133</v>
      </c>
      <c r="D779" t="s">
        <v>74</v>
      </c>
      <c r="E779" s="9">
        <v>7.108689</v>
      </c>
      <c r="F779" s="10">
        <v>332267</v>
      </c>
      <c r="G779" s="11">
        <v>46.74</v>
      </c>
    </row>
    <row r="780" spans="1:7">
      <c r="A780" s="8" t="s">
        <v>15</v>
      </c>
      <c r="B780">
        <v>200899</v>
      </c>
      <c r="C780" t="s">
        <v>133</v>
      </c>
      <c r="D780" t="s">
        <v>75</v>
      </c>
      <c r="E780" s="9">
        <v>79.230620000000002</v>
      </c>
      <c r="F780" s="10">
        <v>3320550</v>
      </c>
      <c r="G780" s="11">
        <v>41.91</v>
      </c>
    </row>
    <row r="781" spans="1:7">
      <c r="A781" s="8" t="s">
        <v>15</v>
      </c>
      <c r="B781">
        <v>200899</v>
      </c>
      <c r="C781" t="s">
        <v>133</v>
      </c>
      <c r="D781" t="s">
        <v>76</v>
      </c>
      <c r="E781" s="9">
        <v>31.079059999999998</v>
      </c>
      <c r="F781" s="10">
        <v>1032673</v>
      </c>
      <c r="G781" s="11">
        <v>33.229999999999997</v>
      </c>
    </row>
    <row r="782" spans="1:7">
      <c r="A782" s="8" t="s">
        <v>15</v>
      </c>
      <c r="B782">
        <v>200899</v>
      </c>
      <c r="C782" t="s">
        <v>133</v>
      </c>
      <c r="D782" t="s">
        <v>78</v>
      </c>
      <c r="E782" s="9">
        <v>4507.0789999999997</v>
      </c>
      <c r="F782" s="10">
        <v>95951045</v>
      </c>
      <c r="G782" s="11">
        <v>21.29</v>
      </c>
    </row>
    <row r="783" spans="1:7">
      <c r="A783" s="8" t="s">
        <v>15</v>
      </c>
      <c r="B783">
        <v>200899</v>
      </c>
      <c r="C783" t="s">
        <v>133</v>
      </c>
      <c r="D783" t="s">
        <v>79</v>
      </c>
      <c r="E783" s="9">
        <v>75.030649999999994</v>
      </c>
      <c r="F783" s="10">
        <v>2214355</v>
      </c>
      <c r="G783" s="11">
        <v>29.51</v>
      </c>
    </row>
    <row r="784" spans="1:7">
      <c r="A784" s="8" t="s">
        <v>15</v>
      </c>
      <c r="B784">
        <v>200899</v>
      </c>
      <c r="C784" t="s">
        <v>133</v>
      </c>
      <c r="D784" t="s">
        <v>145</v>
      </c>
      <c r="E784" s="9">
        <v>4.3499999999999997E-2</v>
      </c>
      <c r="F784" s="10">
        <v>2509</v>
      </c>
      <c r="G784" s="11">
        <v>57.68</v>
      </c>
    </row>
    <row r="785" spans="1:7">
      <c r="A785" s="8" t="s">
        <v>15</v>
      </c>
      <c r="B785">
        <v>200899</v>
      </c>
      <c r="C785" t="s">
        <v>133</v>
      </c>
      <c r="D785" t="s">
        <v>81</v>
      </c>
      <c r="E785" s="9">
        <v>4.8647619999999998</v>
      </c>
      <c r="F785" s="10">
        <v>198372</v>
      </c>
      <c r="G785" s="11">
        <v>40.78</v>
      </c>
    </row>
    <row r="786" spans="1:7">
      <c r="A786" s="8" t="s">
        <v>15</v>
      </c>
      <c r="B786">
        <v>200899</v>
      </c>
      <c r="C786" t="s">
        <v>133</v>
      </c>
      <c r="D786" t="s">
        <v>82</v>
      </c>
      <c r="E786" s="9">
        <v>4.0491479999999997</v>
      </c>
      <c r="F786" s="10">
        <v>105991</v>
      </c>
      <c r="G786" s="11">
        <v>26.18</v>
      </c>
    </row>
    <row r="787" spans="1:7">
      <c r="A787" s="8" t="s">
        <v>15</v>
      </c>
      <c r="B787">
        <v>200899</v>
      </c>
      <c r="C787" t="s">
        <v>133</v>
      </c>
      <c r="D787" t="s">
        <v>83</v>
      </c>
      <c r="E787" s="9">
        <v>20.441780000000001</v>
      </c>
      <c r="F787" s="10">
        <v>308253</v>
      </c>
      <c r="G787" s="11">
        <v>15.08</v>
      </c>
    </row>
    <row r="788" spans="1:7">
      <c r="A788" s="8" t="s">
        <v>15</v>
      </c>
      <c r="B788">
        <v>200899</v>
      </c>
      <c r="C788" t="s">
        <v>133</v>
      </c>
      <c r="D788" t="s">
        <v>84</v>
      </c>
      <c r="E788" s="9">
        <v>3.5295899999999998</v>
      </c>
      <c r="F788" s="10">
        <v>82587</v>
      </c>
      <c r="G788" s="11">
        <v>23.4</v>
      </c>
    </row>
    <row r="789" spans="1:7">
      <c r="A789" s="8" t="s">
        <v>15</v>
      </c>
      <c r="B789">
        <v>200899</v>
      </c>
      <c r="C789" t="s">
        <v>133</v>
      </c>
      <c r="D789" t="s">
        <v>146</v>
      </c>
      <c r="E789" s="9">
        <v>12.694000000000001</v>
      </c>
      <c r="F789" s="10">
        <v>413081</v>
      </c>
      <c r="G789" s="11">
        <v>32.54</v>
      </c>
    </row>
    <row r="790" spans="1:7">
      <c r="A790" s="8" t="s">
        <v>15</v>
      </c>
      <c r="B790">
        <v>200899</v>
      </c>
      <c r="C790" t="s">
        <v>133</v>
      </c>
      <c r="D790" t="s">
        <v>85</v>
      </c>
      <c r="E790" s="9">
        <v>1.3107500000000001</v>
      </c>
      <c r="F790" s="10">
        <v>56680</v>
      </c>
      <c r="G790" s="11">
        <v>43.24</v>
      </c>
    </row>
    <row r="791" spans="1:7">
      <c r="A791" s="8" t="s">
        <v>15</v>
      </c>
      <c r="B791">
        <v>200899</v>
      </c>
      <c r="C791" t="s">
        <v>133</v>
      </c>
      <c r="D791" t="s">
        <v>86</v>
      </c>
      <c r="E791" s="9">
        <v>41.170940000000002</v>
      </c>
      <c r="F791" s="10">
        <v>1454404</v>
      </c>
      <c r="G791" s="11">
        <v>35.33</v>
      </c>
    </row>
    <row r="792" spans="1:7">
      <c r="A792" s="8" t="s">
        <v>15</v>
      </c>
      <c r="B792">
        <v>200899</v>
      </c>
      <c r="C792" t="s">
        <v>133</v>
      </c>
      <c r="D792" t="s">
        <v>148</v>
      </c>
      <c r="E792" s="9">
        <v>1.3300000000000001E-4</v>
      </c>
      <c r="F792" s="10">
        <v>9</v>
      </c>
      <c r="G792" s="11">
        <v>67.67</v>
      </c>
    </row>
    <row r="793" spans="1:7">
      <c r="A793" s="8" t="s">
        <v>15</v>
      </c>
      <c r="B793">
        <v>200899</v>
      </c>
      <c r="C793" t="s">
        <v>133</v>
      </c>
      <c r="D793" t="s">
        <v>87</v>
      </c>
      <c r="E793" s="9">
        <v>9.7198999999999994E-2</v>
      </c>
      <c r="F793" s="10">
        <v>2919</v>
      </c>
      <c r="G793" s="11">
        <v>30.03</v>
      </c>
    </row>
    <row r="794" spans="1:7">
      <c r="A794" s="8" t="s">
        <v>15</v>
      </c>
      <c r="B794">
        <v>200899</v>
      </c>
      <c r="C794" t="s">
        <v>133</v>
      </c>
      <c r="D794" t="s">
        <v>88</v>
      </c>
      <c r="E794" s="9">
        <v>425.3879</v>
      </c>
      <c r="F794" s="10">
        <v>5823731</v>
      </c>
      <c r="G794" s="11">
        <v>13.69</v>
      </c>
    </row>
    <row r="795" spans="1:7">
      <c r="A795" s="8" t="s">
        <v>15</v>
      </c>
      <c r="B795">
        <v>200899</v>
      </c>
      <c r="C795" t="s">
        <v>133</v>
      </c>
      <c r="D795" t="s">
        <v>89</v>
      </c>
      <c r="E795" s="9">
        <v>0.33104</v>
      </c>
      <c r="F795" s="10">
        <v>12789</v>
      </c>
      <c r="G795" s="11">
        <v>38.630000000000003</v>
      </c>
    </row>
    <row r="796" spans="1:7">
      <c r="A796" s="8" t="s">
        <v>15</v>
      </c>
      <c r="B796">
        <v>200899</v>
      </c>
      <c r="C796" t="s">
        <v>133</v>
      </c>
      <c r="D796" t="s">
        <v>168</v>
      </c>
      <c r="E796" s="9">
        <v>0.85004000000000002</v>
      </c>
      <c r="F796" s="10">
        <v>31059</v>
      </c>
      <c r="G796" s="11">
        <v>36.54</v>
      </c>
    </row>
    <row r="797" spans="1:7">
      <c r="A797" s="8" t="s">
        <v>15</v>
      </c>
      <c r="B797">
        <v>200899</v>
      </c>
      <c r="C797" t="s">
        <v>133</v>
      </c>
      <c r="D797" t="s">
        <v>90</v>
      </c>
      <c r="E797" s="9">
        <v>216.55297999999999</v>
      </c>
      <c r="F797" s="10">
        <v>4202374</v>
      </c>
      <c r="G797" s="11">
        <v>19.41</v>
      </c>
    </row>
    <row r="798" spans="1:7">
      <c r="A798" s="8" t="s">
        <v>15</v>
      </c>
      <c r="B798">
        <v>200899</v>
      </c>
      <c r="C798" t="s">
        <v>133</v>
      </c>
      <c r="D798" t="s">
        <v>91</v>
      </c>
      <c r="E798" s="9">
        <v>771.39369999999997</v>
      </c>
      <c r="F798" s="10">
        <v>16080598</v>
      </c>
      <c r="G798" s="11">
        <v>20.85</v>
      </c>
    </row>
    <row r="799" spans="1:7">
      <c r="A799" s="8" t="s">
        <v>15</v>
      </c>
      <c r="B799">
        <v>200899</v>
      </c>
      <c r="C799" t="s">
        <v>133</v>
      </c>
      <c r="D799" t="s">
        <v>92</v>
      </c>
      <c r="E799" s="9">
        <v>294.00299999999999</v>
      </c>
      <c r="F799" s="10">
        <v>3517486</v>
      </c>
      <c r="G799" s="11">
        <v>11.96</v>
      </c>
    </row>
    <row r="800" spans="1:7">
      <c r="A800" s="8" t="s">
        <v>15</v>
      </c>
      <c r="B800">
        <v>200899</v>
      </c>
      <c r="C800" t="s">
        <v>133</v>
      </c>
      <c r="D800" t="s">
        <v>93</v>
      </c>
      <c r="E800" s="9">
        <v>6.7970000000000003E-2</v>
      </c>
      <c r="F800" s="10">
        <v>2924</v>
      </c>
      <c r="G800" s="11">
        <v>43.02</v>
      </c>
    </row>
    <row r="801" spans="1:7">
      <c r="A801" s="8" t="s">
        <v>15</v>
      </c>
      <c r="B801">
        <v>200899</v>
      </c>
      <c r="C801" t="s">
        <v>133</v>
      </c>
      <c r="D801" t="s">
        <v>94</v>
      </c>
      <c r="E801" s="9">
        <v>0.75571999999999995</v>
      </c>
      <c r="F801" s="10">
        <v>18425</v>
      </c>
      <c r="G801" s="11">
        <v>24.38</v>
      </c>
    </row>
    <row r="802" spans="1:7">
      <c r="A802" s="8" t="s">
        <v>15</v>
      </c>
      <c r="B802">
        <v>200899</v>
      </c>
      <c r="C802" t="s">
        <v>133</v>
      </c>
      <c r="D802" t="s">
        <v>169</v>
      </c>
      <c r="E802" s="9">
        <v>0.39639999999999997</v>
      </c>
      <c r="F802" s="10">
        <v>4490</v>
      </c>
      <c r="G802" s="11">
        <v>11.33</v>
      </c>
    </row>
    <row r="803" spans="1:7">
      <c r="A803" s="8" t="s">
        <v>15</v>
      </c>
      <c r="B803">
        <v>200899</v>
      </c>
      <c r="C803" t="s">
        <v>133</v>
      </c>
      <c r="D803" t="s">
        <v>151</v>
      </c>
      <c r="E803" s="9">
        <v>0.69162999999999997</v>
      </c>
      <c r="F803" s="10">
        <v>12681</v>
      </c>
      <c r="G803" s="11">
        <v>18.329999999999998</v>
      </c>
    </row>
    <row r="804" spans="1:7">
      <c r="A804" s="8" t="s">
        <v>15</v>
      </c>
      <c r="B804">
        <v>200899</v>
      </c>
      <c r="C804" t="s">
        <v>133</v>
      </c>
      <c r="D804" t="s">
        <v>152</v>
      </c>
      <c r="E804" s="9">
        <v>8.2393199999999993</v>
      </c>
      <c r="F804" s="10">
        <v>133028</v>
      </c>
      <c r="G804" s="11">
        <v>16.149999999999999</v>
      </c>
    </row>
    <row r="805" spans="1:7">
      <c r="A805" s="8" t="s">
        <v>15</v>
      </c>
      <c r="B805">
        <v>200899</v>
      </c>
      <c r="C805" t="s">
        <v>133</v>
      </c>
      <c r="D805" t="s">
        <v>95</v>
      </c>
      <c r="E805" s="9">
        <v>463.48399999999998</v>
      </c>
      <c r="F805" s="10">
        <v>11418767</v>
      </c>
      <c r="G805" s="11">
        <v>24.64</v>
      </c>
    </row>
    <row r="806" spans="1:7">
      <c r="A806" s="8" t="s">
        <v>15</v>
      </c>
      <c r="B806">
        <v>200899</v>
      </c>
      <c r="C806" t="s">
        <v>133</v>
      </c>
      <c r="D806" t="s">
        <v>170</v>
      </c>
      <c r="E806" s="9">
        <v>1.0699999999999999E-2</v>
      </c>
      <c r="F806" s="10">
        <v>576</v>
      </c>
      <c r="G806" s="11">
        <v>53.83</v>
      </c>
    </row>
    <row r="807" spans="1:7">
      <c r="A807" s="8" t="s">
        <v>15</v>
      </c>
      <c r="B807">
        <v>200899</v>
      </c>
      <c r="C807" t="s">
        <v>133</v>
      </c>
      <c r="D807" t="s">
        <v>153</v>
      </c>
      <c r="E807" s="9">
        <v>0.1757</v>
      </c>
      <c r="F807" s="10">
        <v>1328</v>
      </c>
      <c r="G807" s="11">
        <v>7.56</v>
      </c>
    </row>
    <row r="808" spans="1:7">
      <c r="A808" s="8" t="s">
        <v>15</v>
      </c>
      <c r="B808">
        <v>200899</v>
      </c>
      <c r="C808" t="s">
        <v>133</v>
      </c>
      <c r="D808" t="s">
        <v>97</v>
      </c>
      <c r="E808" s="9">
        <v>168.27896000000001</v>
      </c>
      <c r="F808" s="10">
        <v>5286503</v>
      </c>
      <c r="G808" s="11">
        <v>31.42</v>
      </c>
    </row>
    <row r="809" spans="1:7">
      <c r="A809" s="8" t="s">
        <v>15</v>
      </c>
      <c r="B809">
        <v>200899</v>
      </c>
      <c r="C809" t="s">
        <v>133</v>
      </c>
      <c r="D809" t="s">
        <v>154</v>
      </c>
      <c r="E809" s="9">
        <v>5.6160000000000002E-2</v>
      </c>
      <c r="F809" s="10">
        <v>1260</v>
      </c>
      <c r="G809" s="11">
        <v>22.44</v>
      </c>
    </row>
    <row r="810" spans="1:7">
      <c r="A810" s="8" t="s">
        <v>15</v>
      </c>
      <c r="B810">
        <v>200899</v>
      </c>
      <c r="C810" t="s">
        <v>133</v>
      </c>
      <c r="D810" t="s">
        <v>98</v>
      </c>
      <c r="E810" s="9">
        <v>0.01</v>
      </c>
      <c r="F810" s="10">
        <v>894</v>
      </c>
      <c r="G810" s="11">
        <v>89.4</v>
      </c>
    </row>
    <row r="811" spans="1:7">
      <c r="A811" s="8" t="s">
        <v>15</v>
      </c>
      <c r="B811">
        <v>200899</v>
      </c>
      <c r="C811" t="s">
        <v>133</v>
      </c>
      <c r="D811" t="s">
        <v>99</v>
      </c>
      <c r="E811" s="9">
        <v>22.025469999999999</v>
      </c>
      <c r="F811" s="10">
        <v>836971</v>
      </c>
      <c r="G811" s="11">
        <v>38</v>
      </c>
    </row>
    <row r="812" spans="1:7">
      <c r="A812" s="8" t="s">
        <v>15</v>
      </c>
      <c r="B812">
        <v>200899</v>
      </c>
      <c r="C812" t="s">
        <v>133</v>
      </c>
      <c r="D812" t="s">
        <v>100</v>
      </c>
      <c r="E812" s="9">
        <v>7.2485499999999998</v>
      </c>
      <c r="F812" s="10">
        <v>164152</v>
      </c>
      <c r="G812" s="11">
        <v>22.65</v>
      </c>
    </row>
    <row r="813" spans="1:7">
      <c r="A813" s="8" t="s">
        <v>15</v>
      </c>
      <c r="B813">
        <v>200899</v>
      </c>
      <c r="C813" t="s">
        <v>133</v>
      </c>
      <c r="D813" t="s">
        <v>155</v>
      </c>
      <c r="E813" s="9">
        <v>0.26124000000000003</v>
      </c>
      <c r="F813" s="10">
        <v>6674</v>
      </c>
      <c r="G813" s="11">
        <v>25.55</v>
      </c>
    </row>
    <row r="814" spans="1:7">
      <c r="A814" s="8" t="s">
        <v>15</v>
      </c>
      <c r="B814">
        <v>200899</v>
      </c>
      <c r="C814" t="s">
        <v>133</v>
      </c>
      <c r="D814" t="s">
        <v>102</v>
      </c>
      <c r="E814" s="9">
        <v>0.80569999999999997</v>
      </c>
      <c r="F814" s="10">
        <v>27819</v>
      </c>
      <c r="G814" s="11">
        <v>34.53</v>
      </c>
    </row>
    <row r="815" spans="1:7">
      <c r="A815" s="8" t="s">
        <v>15</v>
      </c>
      <c r="B815">
        <v>200899</v>
      </c>
      <c r="C815" t="s">
        <v>133</v>
      </c>
      <c r="D815" t="s">
        <v>103</v>
      </c>
      <c r="E815" s="9">
        <v>3.2810800000000002</v>
      </c>
      <c r="F815" s="10">
        <v>120059</v>
      </c>
      <c r="G815" s="11">
        <v>36.590000000000003</v>
      </c>
    </row>
    <row r="816" spans="1:7">
      <c r="A816" s="8" t="s">
        <v>15</v>
      </c>
      <c r="B816">
        <v>200899</v>
      </c>
      <c r="C816" t="s">
        <v>133</v>
      </c>
      <c r="D816" t="s">
        <v>187</v>
      </c>
      <c r="E816" s="9">
        <v>7.6399999999999996E-2</v>
      </c>
      <c r="F816" s="10">
        <v>2813</v>
      </c>
      <c r="G816" s="11">
        <v>36.82</v>
      </c>
    </row>
    <row r="817" spans="1:7">
      <c r="A817" s="8" t="s">
        <v>15</v>
      </c>
      <c r="B817">
        <v>200899</v>
      </c>
      <c r="C817" t="s">
        <v>133</v>
      </c>
      <c r="D817" t="s">
        <v>104</v>
      </c>
      <c r="E817" s="9">
        <v>4.1991699999999996</v>
      </c>
      <c r="F817" s="10">
        <v>139269</v>
      </c>
      <c r="G817" s="11">
        <v>33.17</v>
      </c>
    </row>
    <row r="818" spans="1:7">
      <c r="A818" s="8" t="s">
        <v>15</v>
      </c>
      <c r="B818">
        <v>200899</v>
      </c>
      <c r="C818" t="s">
        <v>133</v>
      </c>
      <c r="D818" t="s">
        <v>105</v>
      </c>
      <c r="E818" s="9">
        <v>1.6658900000000001</v>
      </c>
      <c r="F818" s="10">
        <v>69893</v>
      </c>
      <c r="G818" s="11">
        <v>41.96</v>
      </c>
    </row>
    <row r="819" spans="1:7">
      <c r="A819" s="8" t="s">
        <v>15</v>
      </c>
      <c r="B819">
        <v>200899</v>
      </c>
      <c r="C819" t="s">
        <v>133</v>
      </c>
      <c r="D819" t="s">
        <v>106</v>
      </c>
      <c r="E819" s="9">
        <v>972.88130000000001</v>
      </c>
      <c r="F819" s="10">
        <v>22445858</v>
      </c>
      <c r="G819" s="11">
        <v>23.07</v>
      </c>
    </row>
    <row r="820" spans="1:7">
      <c r="A820" s="8" t="s">
        <v>15</v>
      </c>
      <c r="B820">
        <v>200899</v>
      </c>
      <c r="C820" t="s">
        <v>133</v>
      </c>
      <c r="D820" t="s">
        <v>107</v>
      </c>
      <c r="E820" s="9">
        <v>258.23230000000001</v>
      </c>
      <c r="F820" s="10">
        <v>8937474</v>
      </c>
      <c r="G820" s="11">
        <v>34.61</v>
      </c>
    </row>
    <row r="821" spans="1:7">
      <c r="A821" s="8" t="s">
        <v>15</v>
      </c>
      <c r="B821">
        <v>200899</v>
      </c>
      <c r="C821" t="s">
        <v>133</v>
      </c>
      <c r="D821" t="s">
        <v>157</v>
      </c>
      <c r="E821" s="9">
        <v>9.4659790000000008</v>
      </c>
      <c r="F821" s="10">
        <v>305718</v>
      </c>
      <c r="G821" s="11">
        <v>32.299999999999997</v>
      </c>
    </row>
    <row r="822" spans="1:7">
      <c r="A822" s="8" t="s">
        <v>15</v>
      </c>
      <c r="B822">
        <v>200899</v>
      </c>
      <c r="C822" t="s">
        <v>133</v>
      </c>
      <c r="D822" t="s">
        <v>181</v>
      </c>
      <c r="E822" s="9">
        <v>0.23119999999999999</v>
      </c>
      <c r="F822" s="10">
        <v>2157</v>
      </c>
      <c r="G822" s="11">
        <v>9.33</v>
      </c>
    </row>
    <row r="823" spans="1:7">
      <c r="A823" s="8" t="s">
        <v>15</v>
      </c>
      <c r="B823">
        <v>200899</v>
      </c>
      <c r="C823" t="s">
        <v>133</v>
      </c>
      <c r="D823" t="s">
        <v>108</v>
      </c>
      <c r="E823" s="9">
        <v>7.5636530000000004</v>
      </c>
      <c r="F823" s="10">
        <v>257048</v>
      </c>
      <c r="G823" s="11">
        <v>33.979999999999997</v>
      </c>
    </row>
    <row r="824" spans="1:7">
      <c r="A824" s="8" t="s">
        <v>15</v>
      </c>
      <c r="B824">
        <v>200899</v>
      </c>
      <c r="C824" t="s">
        <v>133</v>
      </c>
      <c r="D824" t="s">
        <v>158</v>
      </c>
      <c r="E824" s="9">
        <v>6.0014729999999998</v>
      </c>
      <c r="F824" s="10">
        <v>205624</v>
      </c>
      <c r="G824" s="11">
        <v>34.26</v>
      </c>
    </row>
    <row r="825" spans="1:7">
      <c r="A825" s="8" t="s">
        <v>15</v>
      </c>
      <c r="B825">
        <v>200899</v>
      </c>
      <c r="C825" t="s">
        <v>133</v>
      </c>
      <c r="D825" t="s">
        <v>109</v>
      </c>
      <c r="E825" s="9">
        <v>823.77239999999995</v>
      </c>
      <c r="F825" s="10">
        <v>20302679</v>
      </c>
      <c r="G825" s="11">
        <v>24.65</v>
      </c>
    </row>
    <row r="826" spans="1:7">
      <c r="A826" s="8" t="s">
        <v>15</v>
      </c>
      <c r="B826">
        <v>200899</v>
      </c>
      <c r="C826" t="s">
        <v>133</v>
      </c>
      <c r="D826" t="s">
        <v>110</v>
      </c>
      <c r="E826" s="9">
        <v>31.515360000000001</v>
      </c>
      <c r="F826" s="10">
        <v>667816</v>
      </c>
      <c r="G826" s="11">
        <v>21.19</v>
      </c>
    </row>
    <row r="827" spans="1:7">
      <c r="A827" s="8" t="s">
        <v>15</v>
      </c>
      <c r="B827">
        <v>200899</v>
      </c>
      <c r="C827" t="s">
        <v>133</v>
      </c>
      <c r="D827" t="s">
        <v>112</v>
      </c>
      <c r="E827" s="9">
        <v>0.1885</v>
      </c>
      <c r="F827" s="10">
        <v>5535</v>
      </c>
      <c r="G827" s="11">
        <v>29.36</v>
      </c>
    </row>
    <row r="828" spans="1:7">
      <c r="A828" s="8" t="s">
        <v>15</v>
      </c>
      <c r="B828">
        <v>200899</v>
      </c>
      <c r="C828" t="s">
        <v>133</v>
      </c>
      <c r="D828" t="s">
        <v>113</v>
      </c>
      <c r="E828" s="9">
        <v>20.102650000000001</v>
      </c>
      <c r="F828" s="10">
        <v>449807</v>
      </c>
      <c r="G828" s="11">
        <v>22.38</v>
      </c>
    </row>
    <row r="829" spans="1:7">
      <c r="A829" s="8" t="s">
        <v>15</v>
      </c>
      <c r="B829">
        <v>200899</v>
      </c>
      <c r="C829" t="s">
        <v>133</v>
      </c>
      <c r="D829" t="s">
        <v>114</v>
      </c>
      <c r="E829" s="9">
        <v>275.16520000000003</v>
      </c>
      <c r="F829" s="10">
        <v>5055870</v>
      </c>
      <c r="G829" s="11">
        <v>18.37</v>
      </c>
    </row>
    <row r="830" spans="1:7">
      <c r="A830" s="8" t="s">
        <v>15</v>
      </c>
      <c r="B830">
        <v>200899</v>
      </c>
      <c r="C830" t="s">
        <v>133</v>
      </c>
      <c r="D830" t="s">
        <v>115</v>
      </c>
      <c r="E830" s="9">
        <v>4.5600000000000002E-2</v>
      </c>
      <c r="F830" s="10">
        <v>1320</v>
      </c>
      <c r="G830" s="11">
        <v>28.95</v>
      </c>
    </row>
    <row r="831" spans="1:7">
      <c r="A831" s="8" t="s">
        <v>15</v>
      </c>
      <c r="B831">
        <v>200899</v>
      </c>
      <c r="C831" t="s">
        <v>133</v>
      </c>
      <c r="D831" t="s">
        <v>116</v>
      </c>
      <c r="E831" s="9">
        <v>1446.7295999999999</v>
      </c>
      <c r="F831" s="10">
        <v>29812674</v>
      </c>
      <c r="G831" s="11">
        <v>20.61</v>
      </c>
    </row>
    <row r="832" spans="1:7">
      <c r="A832" s="8" t="s">
        <v>15</v>
      </c>
      <c r="B832">
        <v>200899</v>
      </c>
      <c r="C832" t="s">
        <v>133</v>
      </c>
      <c r="D832" t="s">
        <v>117</v>
      </c>
      <c r="E832" s="9">
        <v>2.56752</v>
      </c>
      <c r="F832" s="10">
        <v>16354</v>
      </c>
      <c r="G832" s="11">
        <v>6.37</v>
      </c>
    </row>
    <row r="833" spans="1:7">
      <c r="A833" s="8" t="s">
        <v>15</v>
      </c>
      <c r="B833">
        <v>200899</v>
      </c>
      <c r="C833" t="s">
        <v>133</v>
      </c>
      <c r="D833" t="s">
        <v>118</v>
      </c>
      <c r="E833" s="9">
        <v>8.7443299999999997</v>
      </c>
      <c r="F833" s="10">
        <v>142436</v>
      </c>
      <c r="G833" s="11">
        <v>16.29</v>
      </c>
    </row>
    <row r="834" spans="1:7">
      <c r="A834" s="8" t="s">
        <v>15</v>
      </c>
      <c r="B834">
        <v>200899</v>
      </c>
      <c r="C834" t="s">
        <v>133</v>
      </c>
      <c r="D834" t="s">
        <v>188</v>
      </c>
      <c r="E834" s="9">
        <v>4.0000000000000002E-4</v>
      </c>
      <c r="F834" s="10">
        <v>3</v>
      </c>
      <c r="G834" s="11">
        <v>7.5</v>
      </c>
    </row>
    <row r="835" spans="1:7">
      <c r="A835" s="8" t="s">
        <v>15</v>
      </c>
      <c r="B835">
        <v>200899</v>
      </c>
      <c r="C835" t="s">
        <v>133</v>
      </c>
      <c r="D835" t="s">
        <v>119</v>
      </c>
      <c r="E835" s="9">
        <v>86.929339999999996</v>
      </c>
      <c r="F835" s="10">
        <v>2283756</v>
      </c>
      <c r="G835" s="11">
        <v>26.27</v>
      </c>
    </row>
    <row r="836" spans="1:7">
      <c r="A836" s="8" t="s">
        <v>15</v>
      </c>
      <c r="B836">
        <v>200899</v>
      </c>
      <c r="C836" t="s">
        <v>133</v>
      </c>
      <c r="D836" t="s">
        <v>120</v>
      </c>
      <c r="E836" s="9">
        <v>164.84293</v>
      </c>
      <c r="F836" s="10">
        <v>1627986</v>
      </c>
      <c r="G836" s="11">
        <v>9.8800000000000008</v>
      </c>
    </row>
    <row r="837" spans="1:7">
      <c r="A837" s="8" t="s">
        <v>15</v>
      </c>
      <c r="B837">
        <v>200899</v>
      </c>
      <c r="C837" t="s">
        <v>133</v>
      </c>
      <c r="D837" t="s">
        <v>121</v>
      </c>
      <c r="E837" s="9">
        <v>28.484843999999999</v>
      </c>
      <c r="F837" s="10">
        <v>1058000</v>
      </c>
      <c r="G837" s="11">
        <v>37.14</v>
      </c>
    </row>
    <row r="838" spans="1:7">
      <c r="A838" s="8" t="s">
        <v>15</v>
      </c>
      <c r="B838">
        <v>200899</v>
      </c>
      <c r="C838" t="s">
        <v>133</v>
      </c>
      <c r="D838" t="s">
        <v>182</v>
      </c>
      <c r="E838" s="9">
        <v>4.7286000000000001</v>
      </c>
      <c r="F838" s="10">
        <v>10612</v>
      </c>
      <c r="G838" s="11">
        <v>2.2400000000000002</v>
      </c>
    </row>
    <row r="839" spans="1:7">
      <c r="A839" s="8" t="s">
        <v>15</v>
      </c>
      <c r="B839">
        <v>200899</v>
      </c>
      <c r="C839" t="s">
        <v>133</v>
      </c>
      <c r="D839" t="s">
        <v>122</v>
      </c>
      <c r="E839" s="9">
        <v>198.65795</v>
      </c>
      <c r="F839" s="10">
        <v>5407075</v>
      </c>
      <c r="G839" s="11">
        <v>27.22</v>
      </c>
    </row>
    <row r="840" spans="1:7">
      <c r="A840" s="8" t="s">
        <v>15</v>
      </c>
      <c r="B840">
        <v>200899</v>
      </c>
      <c r="C840" t="s">
        <v>133</v>
      </c>
      <c r="D840" t="s">
        <v>189</v>
      </c>
      <c r="E840" s="9">
        <v>6.0000000000000002E-5</v>
      </c>
      <c r="F840" s="10">
        <v>3</v>
      </c>
      <c r="G840" s="11">
        <v>50</v>
      </c>
    </row>
    <row r="841" spans="1:7">
      <c r="A841" s="8" t="s">
        <v>15</v>
      </c>
      <c r="B841">
        <v>200899</v>
      </c>
      <c r="C841" t="s">
        <v>133</v>
      </c>
      <c r="D841" t="s">
        <v>177</v>
      </c>
      <c r="E841" s="9">
        <v>8.1140000000000004E-2</v>
      </c>
      <c r="F841" s="10">
        <v>1082</v>
      </c>
      <c r="G841" s="11">
        <v>13.33</v>
      </c>
    </row>
    <row r="842" spans="1:7">
      <c r="A842" s="8" t="s">
        <v>15</v>
      </c>
      <c r="B842">
        <v>200899</v>
      </c>
      <c r="C842" t="s">
        <v>133</v>
      </c>
      <c r="D842" t="s">
        <v>124</v>
      </c>
      <c r="E842" s="9">
        <v>51.331009999999999</v>
      </c>
      <c r="F842" s="10">
        <v>1983829</v>
      </c>
      <c r="G842" s="11">
        <v>38.65</v>
      </c>
    </row>
    <row r="843" spans="1:7">
      <c r="A843" s="8" t="s">
        <v>15</v>
      </c>
      <c r="B843">
        <v>200899</v>
      </c>
      <c r="C843" t="s">
        <v>133</v>
      </c>
      <c r="D843" t="s">
        <v>125</v>
      </c>
      <c r="E843" s="9">
        <v>3.3E-3</v>
      </c>
      <c r="F843" s="10">
        <v>142</v>
      </c>
      <c r="G843" s="11">
        <v>43.03</v>
      </c>
    </row>
    <row r="844" spans="1:7">
      <c r="A844" s="8" t="s">
        <v>15</v>
      </c>
      <c r="B844">
        <v>200899</v>
      </c>
      <c r="C844" t="s">
        <v>133</v>
      </c>
      <c r="D844" t="s">
        <v>126</v>
      </c>
      <c r="E844" s="9">
        <v>14.624779999999999</v>
      </c>
      <c r="F844" s="10">
        <v>742726</v>
      </c>
      <c r="G844" s="11">
        <v>50.79</v>
      </c>
    </row>
    <row r="845" spans="1:7">
      <c r="A845" s="8" t="s">
        <v>15</v>
      </c>
      <c r="B845">
        <v>200899</v>
      </c>
      <c r="C845" t="s">
        <v>133</v>
      </c>
      <c r="D845" t="s">
        <v>190</v>
      </c>
      <c r="E845" s="9">
        <v>0.18746099999999999</v>
      </c>
      <c r="F845" s="10">
        <v>169</v>
      </c>
      <c r="G845" s="11">
        <v>0.9</v>
      </c>
    </row>
    <row r="846" spans="1:7">
      <c r="A846" s="8" t="s">
        <v>15</v>
      </c>
      <c r="B846">
        <v>200899</v>
      </c>
      <c r="C846" t="s">
        <v>133</v>
      </c>
      <c r="D846" t="s">
        <v>127</v>
      </c>
      <c r="E846" s="9">
        <v>150.78326000000001</v>
      </c>
      <c r="F846" s="10">
        <v>4675023</v>
      </c>
      <c r="G846" s="11">
        <v>31</v>
      </c>
    </row>
    <row r="847" spans="1:7">
      <c r="A847" s="8" t="s">
        <v>15</v>
      </c>
      <c r="B847">
        <v>200899</v>
      </c>
      <c r="C847" t="s">
        <v>133</v>
      </c>
      <c r="D847" t="s">
        <v>161</v>
      </c>
      <c r="E847" s="9">
        <v>0.24607999999999999</v>
      </c>
      <c r="F847" s="10">
        <v>11157</v>
      </c>
      <c r="G847" s="11">
        <v>45.34</v>
      </c>
    </row>
    <row r="848" spans="1:7">
      <c r="A848" s="8" t="s">
        <v>15</v>
      </c>
      <c r="B848">
        <v>200899</v>
      </c>
      <c r="C848" t="s">
        <v>133</v>
      </c>
      <c r="D848" t="s">
        <v>128</v>
      </c>
      <c r="E848" s="9">
        <v>3.3553199999999999</v>
      </c>
      <c r="F848" s="10">
        <v>91930</v>
      </c>
      <c r="G848" s="11">
        <v>27.4</v>
      </c>
    </row>
    <row r="849" spans="1:7">
      <c r="A849" s="8" t="s">
        <v>15</v>
      </c>
      <c r="B849">
        <v>200899</v>
      </c>
      <c r="C849" t="s">
        <v>133</v>
      </c>
      <c r="D849" t="s">
        <v>129</v>
      </c>
      <c r="E849" s="9">
        <v>627.50540000000001</v>
      </c>
      <c r="F849" s="10">
        <v>17401426</v>
      </c>
      <c r="G849" s="11">
        <v>27.73</v>
      </c>
    </row>
    <row r="850" spans="1:7">
      <c r="A850" s="8" t="s">
        <v>15</v>
      </c>
      <c r="B850">
        <v>200899</v>
      </c>
      <c r="C850" t="s">
        <v>133</v>
      </c>
      <c r="D850" t="s">
        <v>130</v>
      </c>
      <c r="E850" s="9">
        <v>7765.6401690000002</v>
      </c>
      <c r="F850" s="10">
        <v>213905931</v>
      </c>
      <c r="G850" s="11">
        <v>27.55</v>
      </c>
    </row>
    <row r="851" spans="1:7">
      <c r="A851" s="8" t="s">
        <v>15</v>
      </c>
      <c r="B851">
        <v>200899</v>
      </c>
      <c r="C851" t="s">
        <v>133</v>
      </c>
      <c r="D851" t="s">
        <v>162</v>
      </c>
      <c r="E851" s="9">
        <v>0.57399999999999995</v>
      </c>
      <c r="F851" s="10">
        <v>5081</v>
      </c>
      <c r="G851" s="11">
        <v>8.85</v>
      </c>
    </row>
    <row r="852" spans="1:7">
      <c r="A852" s="8" t="s">
        <v>15</v>
      </c>
      <c r="B852">
        <v>200899</v>
      </c>
      <c r="C852" t="s">
        <v>133</v>
      </c>
      <c r="D852" t="s">
        <v>131</v>
      </c>
      <c r="E852" s="9">
        <v>10.86267</v>
      </c>
      <c r="F852" s="10">
        <v>304276</v>
      </c>
      <c r="G852" s="11">
        <v>28.01</v>
      </c>
    </row>
    <row r="853" spans="1:7">
      <c r="A853" s="8" t="s">
        <v>15</v>
      </c>
      <c r="B853">
        <v>200899</v>
      </c>
      <c r="C853" t="s">
        <v>133</v>
      </c>
      <c r="D853" t="s">
        <v>132</v>
      </c>
      <c r="E853" s="9">
        <v>1.3240499999999999</v>
      </c>
      <c r="F853" s="10">
        <v>46895</v>
      </c>
      <c r="G853" s="11">
        <v>35.42</v>
      </c>
    </row>
    <row r="854" spans="1:7">
      <c r="A854" s="8" t="s">
        <v>15</v>
      </c>
      <c r="B854">
        <v>200899</v>
      </c>
      <c r="C854" t="s">
        <v>133</v>
      </c>
      <c r="D854" t="s">
        <v>163</v>
      </c>
      <c r="E854" s="9">
        <v>1.4E-2</v>
      </c>
      <c r="F854" s="10">
        <v>94</v>
      </c>
      <c r="G854" s="11">
        <v>6.71</v>
      </c>
    </row>
    <row r="855" spans="1:7">
      <c r="A855" s="8" t="s">
        <v>16</v>
      </c>
      <c r="B855">
        <v>121221</v>
      </c>
      <c r="C855" t="s">
        <v>40</v>
      </c>
      <c r="D855" t="s">
        <v>41</v>
      </c>
      <c r="E855" s="9">
        <v>31147.03368</v>
      </c>
      <c r="F855" s="10">
        <v>563576043</v>
      </c>
      <c r="G855" s="11">
        <v>18.09</v>
      </c>
    </row>
    <row r="856" spans="1:7">
      <c r="A856" s="8" t="s">
        <v>16</v>
      </c>
      <c r="B856">
        <v>121221</v>
      </c>
      <c r="C856" t="s">
        <v>40</v>
      </c>
      <c r="D856" t="s">
        <v>134</v>
      </c>
      <c r="E856" s="9">
        <v>0.05</v>
      </c>
      <c r="F856" s="10">
        <v>66</v>
      </c>
      <c r="G856" s="11">
        <v>1.32</v>
      </c>
    </row>
    <row r="857" spans="1:7">
      <c r="A857" s="8" t="s">
        <v>16</v>
      </c>
      <c r="B857">
        <v>121221</v>
      </c>
      <c r="C857" t="s">
        <v>40</v>
      </c>
      <c r="D857" t="s">
        <v>42</v>
      </c>
      <c r="E857" s="9">
        <v>7.442E-2</v>
      </c>
      <c r="F857" s="10">
        <v>509</v>
      </c>
      <c r="G857" s="11">
        <v>6.84</v>
      </c>
    </row>
    <row r="858" spans="1:7">
      <c r="A858" s="8" t="s">
        <v>16</v>
      </c>
      <c r="B858">
        <v>121221</v>
      </c>
      <c r="C858" t="s">
        <v>40</v>
      </c>
      <c r="D858" t="s">
        <v>164</v>
      </c>
      <c r="E858" s="9">
        <v>12.074152</v>
      </c>
      <c r="F858" s="10">
        <v>416587</v>
      </c>
      <c r="G858" s="11">
        <v>34.5</v>
      </c>
    </row>
    <row r="859" spans="1:7">
      <c r="A859" s="8" t="s">
        <v>16</v>
      </c>
      <c r="B859">
        <v>121221</v>
      </c>
      <c r="C859" t="s">
        <v>40</v>
      </c>
      <c r="D859" t="s">
        <v>43</v>
      </c>
      <c r="E859" s="9">
        <v>0.45</v>
      </c>
      <c r="F859" s="10">
        <v>11509</v>
      </c>
      <c r="G859" s="11">
        <v>25.58</v>
      </c>
    </row>
    <row r="860" spans="1:7">
      <c r="A860" s="8" t="s">
        <v>16</v>
      </c>
      <c r="B860">
        <v>121221</v>
      </c>
      <c r="C860" t="s">
        <v>40</v>
      </c>
      <c r="D860" t="s">
        <v>44</v>
      </c>
      <c r="E860" s="9">
        <v>194.11710600000001</v>
      </c>
      <c r="F860" s="10">
        <v>1298467</v>
      </c>
      <c r="G860" s="11">
        <v>6.69</v>
      </c>
    </row>
    <row r="861" spans="1:7">
      <c r="A861" s="8" t="s">
        <v>16</v>
      </c>
      <c r="B861">
        <v>121221</v>
      </c>
      <c r="C861" t="s">
        <v>40</v>
      </c>
      <c r="D861" t="s">
        <v>45</v>
      </c>
      <c r="E861" s="9">
        <v>5.8263999999999996</v>
      </c>
      <c r="F861" s="10">
        <v>22718</v>
      </c>
      <c r="G861" s="11">
        <v>3.9</v>
      </c>
    </row>
    <row r="862" spans="1:7">
      <c r="A862" s="8" t="s">
        <v>16</v>
      </c>
      <c r="B862">
        <v>121221</v>
      </c>
      <c r="C862" t="s">
        <v>40</v>
      </c>
      <c r="D862" t="s">
        <v>46</v>
      </c>
      <c r="E862" s="9">
        <v>0.67149999999999999</v>
      </c>
      <c r="F862" s="10">
        <v>33728</v>
      </c>
      <c r="G862" s="11">
        <v>50.23</v>
      </c>
    </row>
    <row r="863" spans="1:7">
      <c r="A863" s="8" t="s">
        <v>16</v>
      </c>
      <c r="B863">
        <v>121221</v>
      </c>
      <c r="C863" t="s">
        <v>40</v>
      </c>
      <c r="D863" t="s">
        <v>47</v>
      </c>
      <c r="E863" s="9">
        <v>1.2E-2</v>
      </c>
      <c r="F863" s="10">
        <v>229</v>
      </c>
      <c r="G863" s="11">
        <v>19.079999999999998</v>
      </c>
    </row>
    <row r="864" spans="1:7">
      <c r="A864" s="8" t="s">
        <v>16</v>
      </c>
      <c r="B864">
        <v>121221</v>
      </c>
      <c r="C864" t="s">
        <v>40</v>
      </c>
      <c r="D864" t="s">
        <v>48</v>
      </c>
      <c r="E864" s="9">
        <v>7.2400000000000006E-2</v>
      </c>
      <c r="F864" s="10">
        <v>2605</v>
      </c>
      <c r="G864" s="11">
        <v>35.979999999999997</v>
      </c>
    </row>
    <row r="865" spans="1:7">
      <c r="A865" s="8" t="s">
        <v>16</v>
      </c>
      <c r="B865">
        <v>121221</v>
      </c>
      <c r="C865" t="s">
        <v>40</v>
      </c>
      <c r="D865" t="s">
        <v>49</v>
      </c>
      <c r="E865" s="9">
        <v>0.58625000000000005</v>
      </c>
      <c r="F865" s="10">
        <v>3858</v>
      </c>
      <c r="G865" s="11">
        <v>6.58</v>
      </c>
    </row>
    <row r="866" spans="1:7">
      <c r="A866" s="8" t="s">
        <v>16</v>
      </c>
      <c r="B866">
        <v>121221</v>
      </c>
      <c r="C866" t="s">
        <v>40</v>
      </c>
      <c r="D866" t="s">
        <v>50</v>
      </c>
      <c r="E866" s="9">
        <v>33.184370000000001</v>
      </c>
      <c r="F866" s="10">
        <v>828934</v>
      </c>
      <c r="G866" s="11">
        <v>24.98</v>
      </c>
    </row>
    <row r="867" spans="1:7">
      <c r="A867" s="8" t="s">
        <v>16</v>
      </c>
      <c r="B867">
        <v>121221</v>
      </c>
      <c r="C867" t="s">
        <v>40</v>
      </c>
      <c r="D867" t="s">
        <v>51</v>
      </c>
      <c r="E867" s="9">
        <v>0.185</v>
      </c>
      <c r="F867" s="10">
        <v>5180</v>
      </c>
      <c r="G867" s="11">
        <v>28</v>
      </c>
    </row>
    <row r="868" spans="1:7">
      <c r="A868" s="8" t="s">
        <v>16</v>
      </c>
      <c r="B868">
        <v>121221</v>
      </c>
      <c r="C868" t="s">
        <v>40</v>
      </c>
      <c r="D868" t="s">
        <v>136</v>
      </c>
      <c r="E868" s="9">
        <v>0.18970000000000001</v>
      </c>
      <c r="F868" s="10">
        <v>2636</v>
      </c>
      <c r="G868" s="11">
        <v>13.9</v>
      </c>
    </row>
    <row r="869" spans="1:7">
      <c r="A869" s="8" t="s">
        <v>16</v>
      </c>
      <c r="B869">
        <v>121221</v>
      </c>
      <c r="C869" t="s">
        <v>40</v>
      </c>
      <c r="D869" t="s">
        <v>52</v>
      </c>
      <c r="E869" s="9">
        <v>0.95582</v>
      </c>
      <c r="F869" s="10">
        <v>39084</v>
      </c>
      <c r="G869" s="11">
        <v>40.89</v>
      </c>
    </row>
    <row r="870" spans="1:7">
      <c r="A870" s="8" t="s">
        <v>16</v>
      </c>
      <c r="B870">
        <v>121221</v>
      </c>
      <c r="C870" t="s">
        <v>40</v>
      </c>
      <c r="D870" t="s">
        <v>137</v>
      </c>
      <c r="E870" s="9">
        <v>11.573600000000001</v>
      </c>
      <c r="F870" s="10">
        <v>377400</v>
      </c>
      <c r="G870" s="11">
        <v>32.61</v>
      </c>
    </row>
    <row r="871" spans="1:7">
      <c r="A871" s="8" t="s">
        <v>16</v>
      </c>
      <c r="B871">
        <v>121221</v>
      </c>
      <c r="C871" t="s">
        <v>40</v>
      </c>
      <c r="D871" t="s">
        <v>53</v>
      </c>
      <c r="E871" s="9">
        <v>19.88738</v>
      </c>
      <c r="F871" s="10">
        <v>76324</v>
      </c>
      <c r="G871" s="11">
        <v>3.84</v>
      </c>
    </row>
    <row r="872" spans="1:7">
      <c r="A872" s="8" t="s">
        <v>16</v>
      </c>
      <c r="B872">
        <v>121221</v>
      </c>
      <c r="C872" t="s">
        <v>40</v>
      </c>
      <c r="D872" t="s">
        <v>54</v>
      </c>
      <c r="E872" s="9">
        <v>193.209992</v>
      </c>
      <c r="F872" s="10">
        <v>1166503</v>
      </c>
      <c r="G872" s="11">
        <v>6.04</v>
      </c>
    </row>
    <row r="873" spans="1:7">
      <c r="A873" s="8" t="s">
        <v>16</v>
      </c>
      <c r="B873">
        <v>121221</v>
      </c>
      <c r="C873" t="s">
        <v>40</v>
      </c>
      <c r="D873" t="s">
        <v>172</v>
      </c>
      <c r="E873" s="9">
        <v>3.3440000000000002E-3</v>
      </c>
      <c r="F873" s="10">
        <v>122</v>
      </c>
      <c r="G873" s="11">
        <v>36.479999999999997</v>
      </c>
    </row>
    <row r="874" spans="1:7">
      <c r="A874" s="8" t="s">
        <v>16</v>
      </c>
      <c r="B874">
        <v>121221</v>
      </c>
      <c r="C874" t="s">
        <v>40</v>
      </c>
      <c r="D874" t="s">
        <v>55</v>
      </c>
      <c r="E874" s="9">
        <v>1.3292200000000001</v>
      </c>
      <c r="F874" s="10">
        <v>12811</v>
      </c>
      <c r="G874" s="11">
        <v>9.64</v>
      </c>
    </row>
    <row r="875" spans="1:7">
      <c r="A875" s="8" t="s">
        <v>16</v>
      </c>
      <c r="B875">
        <v>121221</v>
      </c>
      <c r="C875" t="s">
        <v>40</v>
      </c>
      <c r="D875" t="s">
        <v>56</v>
      </c>
      <c r="E875" s="9">
        <v>6271.4416600000004</v>
      </c>
      <c r="F875" s="10">
        <v>100609824</v>
      </c>
      <c r="G875" s="11">
        <v>16.04</v>
      </c>
    </row>
    <row r="876" spans="1:7">
      <c r="A876" s="8" t="s">
        <v>16</v>
      </c>
      <c r="B876">
        <v>121221</v>
      </c>
      <c r="C876" t="s">
        <v>40</v>
      </c>
      <c r="D876" t="s">
        <v>57</v>
      </c>
      <c r="E876" s="9">
        <v>14.239800000000001</v>
      </c>
      <c r="F876" s="10">
        <v>538279</v>
      </c>
      <c r="G876" s="11">
        <v>37.799999999999997</v>
      </c>
    </row>
    <row r="877" spans="1:7">
      <c r="A877" s="8" t="s">
        <v>16</v>
      </c>
      <c r="B877">
        <v>121221</v>
      </c>
      <c r="C877" t="s">
        <v>40</v>
      </c>
      <c r="D877" t="s">
        <v>139</v>
      </c>
      <c r="E877" s="9">
        <v>0.93020999999999998</v>
      </c>
      <c r="F877" s="10">
        <v>10042</v>
      </c>
      <c r="G877" s="11">
        <v>10.8</v>
      </c>
    </row>
    <row r="878" spans="1:7">
      <c r="A878" s="8" t="s">
        <v>16</v>
      </c>
      <c r="B878">
        <v>121221</v>
      </c>
      <c r="C878" t="s">
        <v>40</v>
      </c>
      <c r="D878" t="s">
        <v>58</v>
      </c>
      <c r="E878" s="9">
        <v>1.4E-3</v>
      </c>
      <c r="F878" s="10">
        <v>103</v>
      </c>
      <c r="G878" s="11">
        <v>73.569999999999993</v>
      </c>
    </row>
    <row r="879" spans="1:7">
      <c r="A879" s="8" t="s">
        <v>16</v>
      </c>
      <c r="B879">
        <v>121221</v>
      </c>
      <c r="C879" t="s">
        <v>40</v>
      </c>
      <c r="D879" t="s">
        <v>59</v>
      </c>
      <c r="E879" s="9">
        <v>1.5478700000000001</v>
      </c>
      <c r="F879" s="10">
        <v>16868</v>
      </c>
      <c r="G879" s="11">
        <v>10.9</v>
      </c>
    </row>
    <row r="880" spans="1:7">
      <c r="A880" s="8" t="s">
        <v>16</v>
      </c>
      <c r="B880">
        <v>121221</v>
      </c>
      <c r="C880" t="s">
        <v>40</v>
      </c>
      <c r="D880" t="s">
        <v>60</v>
      </c>
      <c r="E880" s="9">
        <v>1.916E-2</v>
      </c>
      <c r="F880" s="10">
        <v>128</v>
      </c>
      <c r="G880" s="11">
        <v>6.68</v>
      </c>
    </row>
    <row r="881" spans="1:7">
      <c r="A881" s="8" t="s">
        <v>16</v>
      </c>
      <c r="B881">
        <v>121221</v>
      </c>
      <c r="C881" t="s">
        <v>40</v>
      </c>
      <c r="D881" t="s">
        <v>61</v>
      </c>
      <c r="E881" s="9">
        <v>0.2</v>
      </c>
      <c r="F881" s="10">
        <v>276</v>
      </c>
      <c r="G881" s="11">
        <v>1.38</v>
      </c>
    </row>
    <row r="882" spans="1:7">
      <c r="A882" s="8" t="s">
        <v>16</v>
      </c>
      <c r="B882">
        <v>121221</v>
      </c>
      <c r="C882" t="s">
        <v>40</v>
      </c>
      <c r="D882" t="s">
        <v>141</v>
      </c>
      <c r="E882" s="9">
        <v>8.0000000000000007E-5</v>
      </c>
      <c r="F882" s="10">
        <v>3</v>
      </c>
      <c r="G882" s="11">
        <v>37.5</v>
      </c>
    </row>
    <row r="883" spans="1:7">
      <c r="A883" s="8" t="s">
        <v>16</v>
      </c>
      <c r="B883">
        <v>121221</v>
      </c>
      <c r="C883" t="s">
        <v>40</v>
      </c>
      <c r="D883" t="s">
        <v>63</v>
      </c>
      <c r="E883" s="9">
        <v>25.442225000000001</v>
      </c>
      <c r="F883" s="10">
        <v>477446</v>
      </c>
      <c r="G883" s="11">
        <v>18.77</v>
      </c>
    </row>
    <row r="884" spans="1:7">
      <c r="A884" s="8" t="s">
        <v>16</v>
      </c>
      <c r="B884">
        <v>121221</v>
      </c>
      <c r="C884" t="s">
        <v>40</v>
      </c>
      <c r="D884" t="s">
        <v>191</v>
      </c>
      <c r="E884" s="9">
        <v>1.2E-2</v>
      </c>
      <c r="F884" s="10">
        <v>610</v>
      </c>
      <c r="G884" s="11">
        <v>50.83</v>
      </c>
    </row>
    <row r="885" spans="1:7">
      <c r="A885" s="8" t="s">
        <v>16</v>
      </c>
      <c r="B885">
        <v>121221</v>
      </c>
      <c r="C885" t="s">
        <v>40</v>
      </c>
      <c r="D885" t="s">
        <v>64</v>
      </c>
      <c r="E885" s="9">
        <v>4.0837149999999998</v>
      </c>
      <c r="F885" s="10">
        <v>72970</v>
      </c>
      <c r="G885" s="11">
        <v>17.87</v>
      </c>
    </row>
    <row r="886" spans="1:7">
      <c r="A886" s="8" t="s">
        <v>16</v>
      </c>
      <c r="B886">
        <v>121221</v>
      </c>
      <c r="C886" t="s">
        <v>40</v>
      </c>
      <c r="D886" t="s">
        <v>144</v>
      </c>
      <c r="E886" s="9">
        <v>4.6980000000000001E-2</v>
      </c>
      <c r="F886" s="10">
        <v>1724</v>
      </c>
      <c r="G886" s="11">
        <v>36.700000000000003</v>
      </c>
    </row>
    <row r="887" spans="1:7">
      <c r="A887" s="8" t="s">
        <v>16</v>
      </c>
      <c r="B887">
        <v>121221</v>
      </c>
      <c r="C887" t="s">
        <v>40</v>
      </c>
      <c r="D887" t="s">
        <v>66</v>
      </c>
      <c r="E887" s="9">
        <v>2.6307839999999998</v>
      </c>
      <c r="F887" s="10">
        <v>22256</v>
      </c>
      <c r="G887" s="11">
        <v>8.4600000000000009</v>
      </c>
    </row>
    <row r="888" spans="1:7">
      <c r="A888" s="8" t="s">
        <v>16</v>
      </c>
      <c r="B888">
        <v>121221</v>
      </c>
      <c r="C888" t="s">
        <v>40</v>
      </c>
      <c r="D888" t="s">
        <v>67</v>
      </c>
      <c r="E888" s="9">
        <v>0.2324</v>
      </c>
      <c r="F888" s="10">
        <v>5029</v>
      </c>
      <c r="G888" s="11">
        <v>21.64</v>
      </c>
    </row>
    <row r="889" spans="1:7">
      <c r="A889" s="8" t="s">
        <v>16</v>
      </c>
      <c r="B889">
        <v>121221</v>
      </c>
      <c r="C889" t="s">
        <v>40</v>
      </c>
      <c r="D889" t="s">
        <v>70</v>
      </c>
      <c r="E889" s="9">
        <v>23.116945999999999</v>
      </c>
      <c r="F889" s="10">
        <v>414710</v>
      </c>
      <c r="G889" s="11">
        <v>17.940000000000001</v>
      </c>
    </row>
    <row r="890" spans="1:7">
      <c r="A890" s="8" t="s">
        <v>16</v>
      </c>
      <c r="B890">
        <v>121221</v>
      </c>
      <c r="C890" t="s">
        <v>40</v>
      </c>
      <c r="D890" t="s">
        <v>71</v>
      </c>
      <c r="E890" s="9">
        <v>0.24909999999999999</v>
      </c>
      <c r="F890" s="10">
        <v>5171</v>
      </c>
      <c r="G890" s="11">
        <v>20.76</v>
      </c>
    </row>
    <row r="891" spans="1:7">
      <c r="A891" s="8" t="s">
        <v>16</v>
      </c>
      <c r="B891">
        <v>121221</v>
      </c>
      <c r="C891" t="s">
        <v>40</v>
      </c>
      <c r="D891" t="s">
        <v>72</v>
      </c>
      <c r="E891" s="9">
        <v>986.51847999999995</v>
      </c>
      <c r="F891" s="10">
        <v>19379942</v>
      </c>
      <c r="G891" s="11">
        <v>19.64</v>
      </c>
    </row>
    <row r="892" spans="1:7">
      <c r="A892" s="8" t="s">
        <v>16</v>
      </c>
      <c r="B892">
        <v>121221</v>
      </c>
      <c r="C892" t="s">
        <v>40</v>
      </c>
      <c r="D892" t="s">
        <v>73</v>
      </c>
      <c r="E892" s="9">
        <v>1.605885</v>
      </c>
      <c r="F892" s="10">
        <v>45721</v>
      </c>
      <c r="G892" s="11">
        <v>28.47</v>
      </c>
    </row>
    <row r="893" spans="1:7">
      <c r="A893" s="8" t="s">
        <v>16</v>
      </c>
      <c r="B893">
        <v>121221</v>
      </c>
      <c r="C893" t="s">
        <v>40</v>
      </c>
      <c r="D893" t="s">
        <v>74</v>
      </c>
      <c r="E893" s="9">
        <v>0.65539999999999998</v>
      </c>
      <c r="F893" s="10">
        <v>9245</v>
      </c>
      <c r="G893" s="11">
        <v>14.11</v>
      </c>
    </row>
    <row r="894" spans="1:7">
      <c r="A894" s="8" t="s">
        <v>16</v>
      </c>
      <c r="B894">
        <v>121221</v>
      </c>
      <c r="C894" t="s">
        <v>40</v>
      </c>
      <c r="D894" t="s">
        <v>75</v>
      </c>
      <c r="E894" s="9">
        <v>3.3650000000000002</v>
      </c>
      <c r="F894" s="10">
        <v>148483</v>
      </c>
      <c r="G894" s="11">
        <v>44.13</v>
      </c>
    </row>
    <row r="895" spans="1:7">
      <c r="A895" s="8" t="s">
        <v>16</v>
      </c>
      <c r="B895">
        <v>121221</v>
      </c>
      <c r="C895" t="s">
        <v>40</v>
      </c>
      <c r="D895" t="s">
        <v>76</v>
      </c>
      <c r="E895" s="9">
        <v>0.2253</v>
      </c>
      <c r="F895" s="10">
        <v>4584</v>
      </c>
      <c r="G895" s="11">
        <v>20.350000000000001</v>
      </c>
    </row>
    <row r="896" spans="1:7">
      <c r="A896" s="8" t="s">
        <v>16</v>
      </c>
      <c r="B896">
        <v>121221</v>
      </c>
      <c r="C896" t="s">
        <v>40</v>
      </c>
      <c r="D896" t="s">
        <v>78</v>
      </c>
      <c r="E896" s="9">
        <v>11973.19385</v>
      </c>
      <c r="F896" s="10">
        <v>167063908</v>
      </c>
      <c r="G896" s="11">
        <v>13.95</v>
      </c>
    </row>
    <row r="897" spans="1:7">
      <c r="A897" s="8" t="s">
        <v>16</v>
      </c>
      <c r="B897">
        <v>121221</v>
      </c>
      <c r="C897" t="s">
        <v>40</v>
      </c>
      <c r="D897" t="s">
        <v>79</v>
      </c>
      <c r="E897" s="9">
        <v>86.961010000000002</v>
      </c>
      <c r="F897" s="10">
        <v>2108123</v>
      </c>
      <c r="G897" s="11">
        <v>24.24</v>
      </c>
    </row>
    <row r="898" spans="1:7">
      <c r="A898" s="8" t="s">
        <v>16</v>
      </c>
      <c r="B898">
        <v>121221</v>
      </c>
      <c r="C898" t="s">
        <v>40</v>
      </c>
      <c r="D898" t="s">
        <v>80</v>
      </c>
      <c r="E898" s="9">
        <v>1.1919999999999999</v>
      </c>
      <c r="F898" s="10">
        <v>5855</v>
      </c>
      <c r="G898" s="11">
        <v>4.91</v>
      </c>
    </row>
    <row r="899" spans="1:7">
      <c r="A899" s="8" t="s">
        <v>16</v>
      </c>
      <c r="B899">
        <v>121221</v>
      </c>
      <c r="C899" t="s">
        <v>40</v>
      </c>
      <c r="D899" t="s">
        <v>81</v>
      </c>
      <c r="E899" s="9">
        <v>0.19535</v>
      </c>
      <c r="F899" s="10">
        <v>1162</v>
      </c>
      <c r="G899" s="11">
        <v>5.95</v>
      </c>
    </row>
    <row r="900" spans="1:7">
      <c r="A900" s="8" t="s">
        <v>16</v>
      </c>
      <c r="B900">
        <v>121221</v>
      </c>
      <c r="C900" t="s">
        <v>40</v>
      </c>
      <c r="D900" t="s">
        <v>82</v>
      </c>
      <c r="E900" s="9">
        <v>0.2984</v>
      </c>
      <c r="F900" s="10">
        <v>5911</v>
      </c>
      <c r="G900" s="11">
        <v>19.809999999999999</v>
      </c>
    </row>
    <row r="901" spans="1:7">
      <c r="A901" s="8" t="s">
        <v>16</v>
      </c>
      <c r="B901">
        <v>121221</v>
      </c>
      <c r="C901" t="s">
        <v>40</v>
      </c>
      <c r="D901" t="s">
        <v>83</v>
      </c>
      <c r="E901" s="9">
        <v>2.5658300000000001</v>
      </c>
      <c r="F901" s="10">
        <v>45935</v>
      </c>
      <c r="G901" s="11">
        <v>17.899999999999999</v>
      </c>
    </row>
    <row r="902" spans="1:7">
      <c r="A902" s="8" t="s">
        <v>16</v>
      </c>
      <c r="B902">
        <v>121221</v>
      </c>
      <c r="C902" t="s">
        <v>40</v>
      </c>
      <c r="D902" t="s">
        <v>86</v>
      </c>
      <c r="E902" s="9">
        <v>140.86967999999999</v>
      </c>
      <c r="F902" s="10">
        <v>3982718</v>
      </c>
      <c r="G902" s="11">
        <v>28.27</v>
      </c>
    </row>
    <row r="903" spans="1:7">
      <c r="A903" s="8" t="s">
        <v>16</v>
      </c>
      <c r="B903">
        <v>121221</v>
      </c>
      <c r="C903" t="s">
        <v>40</v>
      </c>
      <c r="D903" t="s">
        <v>87</v>
      </c>
      <c r="E903" s="9">
        <v>0.46075100000000002</v>
      </c>
      <c r="F903" s="10">
        <v>2702</v>
      </c>
      <c r="G903" s="11">
        <v>5.86</v>
      </c>
    </row>
    <row r="904" spans="1:7">
      <c r="A904" s="8" t="s">
        <v>16</v>
      </c>
      <c r="B904">
        <v>121221</v>
      </c>
      <c r="C904" t="s">
        <v>40</v>
      </c>
      <c r="D904" t="s">
        <v>149</v>
      </c>
      <c r="E904" s="9">
        <v>1E-3</v>
      </c>
      <c r="F904" s="10">
        <v>8</v>
      </c>
      <c r="G904" s="11">
        <v>8</v>
      </c>
    </row>
    <row r="905" spans="1:7">
      <c r="A905" s="8" t="s">
        <v>16</v>
      </c>
      <c r="B905">
        <v>121221</v>
      </c>
      <c r="C905" t="s">
        <v>40</v>
      </c>
      <c r="D905" t="s">
        <v>88</v>
      </c>
      <c r="E905" s="9">
        <v>22.713450000000002</v>
      </c>
      <c r="F905" s="10">
        <v>300883</v>
      </c>
      <c r="G905" s="11">
        <v>13.25</v>
      </c>
    </row>
    <row r="906" spans="1:7">
      <c r="A906" s="8" t="s">
        <v>16</v>
      </c>
      <c r="B906">
        <v>121221</v>
      </c>
      <c r="C906" t="s">
        <v>40</v>
      </c>
      <c r="D906" t="s">
        <v>90</v>
      </c>
      <c r="E906" s="9">
        <v>52.720260000000003</v>
      </c>
      <c r="F906" s="10">
        <v>1515988</v>
      </c>
      <c r="G906" s="11">
        <v>28.76</v>
      </c>
    </row>
    <row r="907" spans="1:7">
      <c r="A907" s="8" t="s">
        <v>16</v>
      </c>
      <c r="B907">
        <v>121221</v>
      </c>
      <c r="C907" t="s">
        <v>40</v>
      </c>
      <c r="D907" t="s">
        <v>91</v>
      </c>
      <c r="E907" s="9">
        <v>1199.67155</v>
      </c>
      <c r="F907" s="10">
        <v>34093422</v>
      </c>
      <c r="G907" s="11">
        <v>28.42</v>
      </c>
    </row>
    <row r="908" spans="1:7">
      <c r="A908" s="8" t="s">
        <v>16</v>
      </c>
      <c r="B908">
        <v>121221</v>
      </c>
      <c r="C908" t="s">
        <v>40</v>
      </c>
      <c r="D908" t="s">
        <v>92</v>
      </c>
      <c r="E908" s="9">
        <v>126.225925</v>
      </c>
      <c r="F908" s="10">
        <v>2032995</v>
      </c>
      <c r="G908" s="11">
        <v>16.11</v>
      </c>
    </row>
    <row r="909" spans="1:7">
      <c r="A909" s="8" t="s">
        <v>16</v>
      </c>
      <c r="B909">
        <v>121221</v>
      </c>
      <c r="C909" t="s">
        <v>40</v>
      </c>
      <c r="D909" t="s">
        <v>94</v>
      </c>
      <c r="E909" s="9">
        <v>0.28999999999999998</v>
      </c>
      <c r="F909" s="10">
        <v>3233</v>
      </c>
      <c r="G909" s="11">
        <v>11.15</v>
      </c>
    </row>
    <row r="910" spans="1:7">
      <c r="A910" s="8" t="s">
        <v>16</v>
      </c>
      <c r="B910">
        <v>121221</v>
      </c>
      <c r="C910" t="s">
        <v>40</v>
      </c>
      <c r="D910" t="s">
        <v>152</v>
      </c>
      <c r="E910" s="9">
        <v>0.02</v>
      </c>
      <c r="F910" s="10">
        <v>1132</v>
      </c>
      <c r="G910" s="11">
        <v>56.6</v>
      </c>
    </row>
    <row r="911" spans="1:7">
      <c r="A911" s="8" t="s">
        <v>16</v>
      </c>
      <c r="B911">
        <v>121221</v>
      </c>
      <c r="C911" t="s">
        <v>40</v>
      </c>
      <c r="D911" t="s">
        <v>95</v>
      </c>
      <c r="E911" s="9">
        <v>53.075608000000003</v>
      </c>
      <c r="F911" s="10">
        <v>772542</v>
      </c>
      <c r="G911" s="11">
        <v>14.56</v>
      </c>
    </row>
    <row r="912" spans="1:7">
      <c r="A912" s="8" t="s">
        <v>16</v>
      </c>
      <c r="B912">
        <v>121221</v>
      </c>
      <c r="C912" t="s">
        <v>40</v>
      </c>
      <c r="D912" t="s">
        <v>153</v>
      </c>
      <c r="E912" s="9">
        <v>1.1346999999999999E-2</v>
      </c>
      <c r="F912" s="10">
        <v>915</v>
      </c>
      <c r="G912" s="11">
        <v>80.64</v>
      </c>
    </row>
    <row r="913" spans="1:7">
      <c r="A913" s="8" t="s">
        <v>16</v>
      </c>
      <c r="B913">
        <v>121221</v>
      </c>
      <c r="C913" t="s">
        <v>40</v>
      </c>
      <c r="D913" t="s">
        <v>97</v>
      </c>
      <c r="E913" s="9">
        <v>27.954557000000001</v>
      </c>
      <c r="F913" s="10">
        <v>179311</v>
      </c>
      <c r="G913" s="11">
        <v>6.41</v>
      </c>
    </row>
    <row r="914" spans="1:7">
      <c r="A914" s="8" t="s">
        <v>16</v>
      </c>
      <c r="B914">
        <v>121221</v>
      </c>
      <c r="C914" t="s">
        <v>40</v>
      </c>
      <c r="D914" t="s">
        <v>154</v>
      </c>
      <c r="E914" s="9">
        <v>2.7799999999999998E-2</v>
      </c>
      <c r="F914" s="10">
        <v>493</v>
      </c>
      <c r="G914" s="11">
        <v>17.73</v>
      </c>
    </row>
    <row r="915" spans="1:7">
      <c r="A915" s="8" t="s">
        <v>16</v>
      </c>
      <c r="B915">
        <v>121221</v>
      </c>
      <c r="C915" t="s">
        <v>40</v>
      </c>
      <c r="D915" t="s">
        <v>98</v>
      </c>
      <c r="E915" s="9">
        <v>1.6641079999999999</v>
      </c>
      <c r="F915" s="10">
        <v>10637</v>
      </c>
      <c r="G915" s="11">
        <v>6.39</v>
      </c>
    </row>
    <row r="916" spans="1:7">
      <c r="A916" s="8" t="s">
        <v>16</v>
      </c>
      <c r="B916">
        <v>121221</v>
      </c>
      <c r="C916" t="s">
        <v>40</v>
      </c>
      <c r="D916" t="s">
        <v>99</v>
      </c>
      <c r="E916" s="9">
        <v>1.3027</v>
      </c>
      <c r="F916" s="10">
        <v>107173</v>
      </c>
      <c r="G916" s="11">
        <v>82.27</v>
      </c>
    </row>
    <row r="917" spans="1:7">
      <c r="A917" s="8" t="s">
        <v>16</v>
      </c>
      <c r="B917">
        <v>121221</v>
      </c>
      <c r="C917" t="s">
        <v>40</v>
      </c>
      <c r="D917" t="s">
        <v>100</v>
      </c>
      <c r="E917" s="9">
        <v>1.83873</v>
      </c>
      <c r="F917" s="10">
        <v>10255</v>
      </c>
      <c r="G917" s="11">
        <v>5.58</v>
      </c>
    </row>
    <row r="918" spans="1:7">
      <c r="A918" s="8" t="s">
        <v>16</v>
      </c>
      <c r="B918">
        <v>121221</v>
      </c>
      <c r="C918" t="s">
        <v>40</v>
      </c>
      <c r="D918" t="s">
        <v>101</v>
      </c>
      <c r="E918" s="9">
        <v>1.2E-2</v>
      </c>
      <c r="F918" s="10">
        <v>465</v>
      </c>
      <c r="G918" s="11">
        <v>38.75</v>
      </c>
    </row>
    <row r="919" spans="1:7">
      <c r="A919" s="8" t="s">
        <v>16</v>
      </c>
      <c r="B919">
        <v>121221</v>
      </c>
      <c r="C919" t="s">
        <v>40</v>
      </c>
      <c r="D919" t="s">
        <v>103</v>
      </c>
      <c r="E919" s="9">
        <v>0.23799999999999999</v>
      </c>
      <c r="F919" s="10">
        <v>1378</v>
      </c>
      <c r="G919" s="11">
        <v>5.79</v>
      </c>
    </row>
    <row r="920" spans="1:7">
      <c r="A920" s="8" t="s">
        <v>16</v>
      </c>
      <c r="B920">
        <v>121221</v>
      </c>
      <c r="C920" t="s">
        <v>40</v>
      </c>
      <c r="D920" t="s">
        <v>104</v>
      </c>
      <c r="E920" s="9">
        <v>0.92241799999999996</v>
      </c>
      <c r="F920" s="10">
        <v>3671</v>
      </c>
      <c r="G920" s="11">
        <v>3.98</v>
      </c>
    </row>
    <row r="921" spans="1:7">
      <c r="A921" s="8" t="s">
        <v>16</v>
      </c>
      <c r="B921">
        <v>121221</v>
      </c>
      <c r="C921" t="s">
        <v>40</v>
      </c>
      <c r="D921" t="s">
        <v>106</v>
      </c>
      <c r="E921" s="9">
        <v>130.13131000000001</v>
      </c>
      <c r="F921" s="10">
        <v>1938792</v>
      </c>
      <c r="G921" s="11">
        <v>14.9</v>
      </c>
    </row>
    <row r="922" spans="1:7">
      <c r="A922" s="8" t="s">
        <v>16</v>
      </c>
      <c r="B922">
        <v>121221</v>
      </c>
      <c r="C922" t="s">
        <v>40</v>
      </c>
      <c r="D922" t="s">
        <v>107</v>
      </c>
      <c r="E922" s="9">
        <v>21.548860000000001</v>
      </c>
      <c r="F922" s="10">
        <v>352077</v>
      </c>
      <c r="G922" s="11">
        <v>16.34</v>
      </c>
    </row>
    <row r="923" spans="1:7">
      <c r="A923" s="8" t="s">
        <v>16</v>
      </c>
      <c r="B923">
        <v>121221</v>
      </c>
      <c r="C923" t="s">
        <v>40</v>
      </c>
      <c r="D923" t="s">
        <v>108</v>
      </c>
      <c r="E923" s="9">
        <v>5.6501999999999999</v>
      </c>
      <c r="F923" s="10">
        <v>45779</v>
      </c>
      <c r="G923" s="11">
        <v>8.1</v>
      </c>
    </row>
    <row r="924" spans="1:7">
      <c r="A924" s="8" t="s">
        <v>16</v>
      </c>
      <c r="B924">
        <v>121221</v>
      </c>
      <c r="C924" t="s">
        <v>40</v>
      </c>
      <c r="D924" t="s">
        <v>109</v>
      </c>
      <c r="E924" s="9">
        <v>2478.6065330000001</v>
      </c>
      <c r="F924" s="10">
        <v>78999557</v>
      </c>
      <c r="G924" s="11">
        <v>31.87</v>
      </c>
    </row>
    <row r="925" spans="1:7">
      <c r="A925" s="8" t="s">
        <v>16</v>
      </c>
      <c r="B925">
        <v>121221</v>
      </c>
      <c r="C925" t="s">
        <v>40</v>
      </c>
      <c r="D925" t="s">
        <v>110</v>
      </c>
      <c r="E925" s="9">
        <v>3.45384</v>
      </c>
      <c r="F925" s="10">
        <v>44119</v>
      </c>
      <c r="G925" s="11">
        <v>12.77</v>
      </c>
    </row>
    <row r="926" spans="1:7">
      <c r="A926" s="8" t="s">
        <v>16</v>
      </c>
      <c r="B926">
        <v>121221</v>
      </c>
      <c r="C926" t="s">
        <v>40</v>
      </c>
      <c r="D926" t="s">
        <v>112</v>
      </c>
      <c r="E926" s="9">
        <v>0.19500000000000001</v>
      </c>
      <c r="F926" s="10">
        <v>2637</v>
      </c>
      <c r="G926" s="11">
        <v>13.52</v>
      </c>
    </row>
    <row r="927" spans="1:7">
      <c r="A927" s="8" t="s">
        <v>16</v>
      </c>
      <c r="B927">
        <v>121221</v>
      </c>
      <c r="C927" t="s">
        <v>40</v>
      </c>
      <c r="D927" t="s">
        <v>113</v>
      </c>
      <c r="E927" s="9">
        <v>0.92459999999999998</v>
      </c>
      <c r="F927" s="10">
        <v>15632</v>
      </c>
      <c r="G927" s="11">
        <v>16.91</v>
      </c>
    </row>
    <row r="928" spans="1:7">
      <c r="A928" s="8" t="s">
        <v>16</v>
      </c>
      <c r="B928">
        <v>121221</v>
      </c>
      <c r="C928" t="s">
        <v>40</v>
      </c>
      <c r="D928" t="s">
        <v>114</v>
      </c>
      <c r="E928" s="9">
        <v>135.80334099999999</v>
      </c>
      <c r="F928" s="10">
        <v>3948278</v>
      </c>
      <c r="G928" s="11">
        <v>29.07</v>
      </c>
    </row>
    <row r="929" spans="1:7">
      <c r="A929" s="8" t="s">
        <v>16</v>
      </c>
      <c r="B929">
        <v>121221</v>
      </c>
      <c r="C929" t="s">
        <v>40</v>
      </c>
      <c r="D929" t="s">
        <v>116</v>
      </c>
      <c r="E929" s="9">
        <v>1117.2069039999999</v>
      </c>
      <c r="F929" s="10">
        <v>23581130</v>
      </c>
      <c r="G929" s="11">
        <v>21.11</v>
      </c>
    </row>
    <row r="930" spans="1:7">
      <c r="A930" s="8" t="s">
        <v>16</v>
      </c>
      <c r="B930">
        <v>121221</v>
      </c>
      <c r="C930" t="s">
        <v>40</v>
      </c>
      <c r="D930" t="s">
        <v>118</v>
      </c>
      <c r="E930" s="9">
        <v>1.2535400000000001</v>
      </c>
      <c r="F930" s="10">
        <v>12410</v>
      </c>
      <c r="G930" s="11">
        <v>9.9</v>
      </c>
    </row>
    <row r="931" spans="1:7">
      <c r="A931" s="8" t="s">
        <v>16</v>
      </c>
      <c r="B931">
        <v>121221</v>
      </c>
      <c r="C931" t="s">
        <v>40</v>
      </c>
      <c r="D931" t="s">
        <v>119</v>
      </c>
      <c r="E931" s="9">
        <v>0.58409999999999995</v>
      </c>
      <c r="F931" s="10">
        <v>9361</v>
      </c>
      <c r="G931" s="11">
        <v>16.03</v>
      </c>
    </row>
    <row r="932" spans="1:7">
      <c r="A932" s="8" t="s">
        <v>16</v>
      </c>
      <c r="B932">
        <v>121221</v>
      </c>
      <c r="C932" t="s">
        <v>40</v>
      </c>
      <c r="D932" t="s">
        <v>120</v>
      </c>
      <c r="E932" s="9">
        <v>0.64249999999999996</v>
      </c>
      <c r="F932" s="10">
        <v>14671</v>
      </c>
      <c r="G932" s="11">
        <v>22.83</v>
      </c>
    </row>
    <row r="933" spans="1:7">
      <c r="A933" s="8" t="s">
        <v>16</v>
      </c>
      <c r="B933">
        <v>121221</v>
      </c>
      <c r="C933" t="s">
        <v>40</v>
      </c>
      <c r="D933" t="s">
        <v>121</v>
      </c>
      <c r="E933" s="9">
        <v>0.2034</v>
      </c>
      <c r="F933" s="10">
        <v>5227</v>
      </c>
      <c r="G933" s="11">
        <v>25.7</v>
      </c>
    </row>
    <row r="934" spans="1:7">
      <c r="A934" s="8" t="s">
        <v>16</v>
      </c>
      <c r="B934">
        <v>121221</v>
      </c>
      <c r="C934" t="s">
        <v>40</v>
      </c>
      <c r="D934" t="s">
        <v>122</v>
      </c>
      <c r="E934" s="9">
        <v>3822.0705079999998</v>
      </c>
      <c r="F934" s="10">
        <v>89520641</v>
      </c>
      <c r="G934" s="11">
        <v>23.42</v>
      </c>
    </row>
    <row r="935" spans="1:7">
      <c r="A935" s="8" t="s">
        <v>16</v>
      </c>
      <c r="B935">
        <v>121221</v>
      </c>
      <c r="C935" t="s">
        <v>40</v>
      </c>
      <c r="D935" t="s">
        <v>124</v>
      </c>
      <c r="E935" s="9">
        <v>10.75019</v>
      </c>
      <c r="F935" s="10">
        <v>322076</v>
      </c>
      <c r="G935" s="11">
        <v>29.96</v>
      </c>
    </row>
    <row r="936" spans="1:7">
      <c r="A936" s="8" t="s">
        <v>16</v>
      </c>
      <c r="B936">
        <v>121221</v>
      </c>
      <c r="C936" t="s">
        <v>40</v>
      </c>
      <c r="D936" t="s">
        <v>126</v>
      </c>
      <c r="E936" s="9">
        <v>52.180084000000001</v>
      </c>
      <c r="F936" s="10">
        <v>1799295</v>
      </c>
      <c r="G936" s="11">
        <v>34.479999999999997</v>
      </c>
    </row>
    <row r="937" spans="1:7">
      <c r="A937" s="8" t="s">
        <v>16</v>
      </c>
      <c r="B937">
        <v>121221</v>
      </c>
      <c r="C937" t="s">
        <v>40</v>
      </c>
      <c r="D937" t="s">
        <v>160</v>
      </c>
      <c r="E937" s="9">
        <v>1.4999999999999999E-2</v>
      </c>
      <c r="F937" s="10">
        <v>108</v>
      </c>
      <c r="G937" s="11">
        <v>7.2</v>
      </c>
    </row>
    <row r="938" spans="1:7">
      <c r="A938" s="8" t="s">
        <v>16</v>
      </c>
      <c r="B938">
        <v>121221</v>
      </c>
      <c r="C938" t="s">
        <v>40</v>
      </c>
      <c r="D938" t="s">
        <v>127</v>
      </c>
      <c r="E938" s="9">
        <v>5.5910099999999998</v>
      </c>
      <c r="F938" s="10">
        <v>175509</v>
      </c>
      <c r="G938" s="11">
        <v>31.39</v>
      </c>
    </row>
    <row r="939" spans="1:7">
      <c r="A939" s="8" t="s">
        <v>16</v>
      </c>
      <c r="B939">
        <v>121221</v>
      </c>
      <c r="C939" t="s">
        <v>40</v>
      </c>
      <c r="D939" t="s">
        <v>129</v>
      </c>
      <c r="E939" s="9">
        <v>27.82451</v>
      </c>
      <c r="F939" s="10">
        <v>392902</v>
      </c>
      <c r="G939" s="11">
        <v>14.12</v>
      </c>
    </row>
    <row r="940" spans="1:7">
      <c r="A940" s="8" t="s">
        <v>16</v>
      </c>
      <c r="B940">
        <v>121221</v>
      </c>
      <c r="C940" t="s">
        <v>40</v>
      </c>
      <c r="D940" t="s">
        <v>130</v>
      </c>
      <c r="E940" s="9">
        <v>1826.38969</v>
      </c>
      <c r="F940" s="10">
        <v>24072338</v>
      </c>
      <c r="G940" s="11">
        <v>13.18</v>
      </c>
    </row>
    <row r="941" spans="1:7">
      <c r="A941" s="8" t="s">
        <v>16</v>
      </c>
      <c r="B941">
        <v>121221</v>
      </c>
      <c r="C941" t="s">
        <v>40</v>
      </c>
      <c r="D941" t="s">
        <v>131</v>
      </c>
      <c r="E941" s="9">
        <v>0.42415000000000003</v>
      </c>
      <c r="F941" s="10">
        <v>8108</v>
      </c>
      <c r="G941" s="11">
        <v>19.12</v>
      </c>
    </row>
    <row r="942" spans="1:7">
      <c r="A942" s="8" t="s">
        <v>16</v>
      </c>
      <c r="B942">
        <v>121221</v>
      </c>
      <c r="C942" t="s">
        <v>40</v>
      </c>
      <c r="D942" t="s">
        <v>132</v>
      </c>
      <c r="E942" s="9">
        <v>0.12543399999999999</v>
      </c>
      <c r="F942" s="10">
        <v>1483</v>
      </c>
      <c r="G942" s="11">
        <v>11.82</v>
      </c>
    </row>
    <row r="943" spans="1:7">
      <c r="A943" s="8" t="s">
        <v>16</v>
      </c>
      <c r="B943">
        <v>121221</v>
      </c>
      <c r="C943" t="s">
        <v>40</v>
      </c>
      <c r="D943" t="s">
        <v>192</v>
      </c>
      <c r="E943" s="9">
        <v>1.5599999999999999E-2</v>
      </c>
      <c r="F943" s="10">
        <v>414</v>
      </c>
      <c r="G943" s="11">
        <v>26.54</v>
      </c>
    </row>
    <row r="944" spans="1:7">
      <c r="A944" s="8" t="s">
        <v>16</v>
      </c>
      <c r="B944">
        <v>200899</v>
      </c>
      <c r="C944" t="s">
        <v>133</v>
      </c>
      <c r="D944" t="s">
        <v>41</v>
      </c>
      <c r="E944" s="9">
        <v>27501.95795</v>
      </c>
      <c r="F944" s="10">
        <v>687399086</v>
      </c>
      <c r="G944" s="11">
        <v>24.99</v>
      </c>
    </row>
    <row r="945" spans="1:7">
      <c r="A945" s="8" t="s">
        <v>16</v>
      </c>
      <c r="B945">
        <v>200899</v>
      </c>
      <c r="C945" t="s">
        <v>133</v>
      </c>
      <c r="D945" t="s">
        <v>171</v>
      </c>
      <c r="E945" s="9">
        <v>0.2661</v>
      </c>
      <c r="F945" s="10">
        <v>1593</v>
      </c>
      <c r="G945" s="11">
        <v>5.99</v>
      </c>
    </row>
    <row r="946" spans="1:7">
      <c r="A946" s="8" t="s">
        <v>16</v>
      </c>
      <c r="B946">
        <v>200899</v>
      </c>
      <c r="C946" t="s">
        <v>133</v>
      </c>
      <c r="D946" t="s">
        <v>134</v>
      </c>
      <c r="E946" s="9">
        <v>3.6999999999999998E-2</v>
      </c>
      <c r="F946" s="10">
        <v>862</v>
      </c>
      <c r="G946" s="11">
        <v>23.3</v>
      </c>
    </row>
    <row r="947" spans="1:7">
      <c r="A947" s="8" t="s">
        <v>16</v>
      </c>
      <c r="B947">
        <v>200899</v>
      </c>
      <c r="C947" t="s">
        <v>133</v>
      </c>
      <c r="D947" t="s">
        <v>166</v>
      </c>
      <c r="E947" s="9">
        <v>7.9452999999999996E-2</v>
      </c>
      <c r="F947" s="10">
        <v>953</v>
      </c>
      <c r="G947" s="11">
        <v>11.99</v>
      </c>
    </row>
    <row r="948" spans="1:7">
      <c r="A948" s="8" t="s">
        <v>16</v>
      </c>
      <c r="B948">
        <v>200899</v>
      </c>
      <c r="C948" t="s">
        <v>133</v>
      </c>
      <c r="D948" t="s">
        <v>164</v>
      </c>
      <c r="E948" s="9">
        <v>5.3999999999999999E-2</v>
      </c>
      <c r="F948" s="10">
        <v>1706</v>
      </c>
      <c r="G948" s="11">
        <v>31.59</v>
      </c>
    </row>
    <row r="949" spans="1:7">
      <c r="A949" s="8" t="s">
        <v>16</v>
      </c>
      <c r="B949">
        <v>200899</v>
      </c>
      <c r="C949" t="s">
        <v>133</v>
      </c>
      <c r="D949" t="s">
        <v>43</v>
      </c>
      <c r="E949" s="9">
        <v>2.7745600000000001</v>
      </c>
      <c r="F949" s="10">
        <v>91015</v>
      </c>
      <c r="G949" s="11">
        <v>32.799999999999997</v>
      </c>
    </row>
    <row r="950" spans="1:7">
      <c r="A950" s="8" t="s">
        <v>16</v>
      </c>
      <c r="B950">
        <v>200899</v>
      </c>
      <c r="C950" t="s">
        <v>133</v>
      </c>
      <c r="D950" t="s">
        <v>44</v>
      </c>
      <c r="E950" s="9">
        <v>1096.525586</v>
      </c>
      <c r="F950" s="10">
        <v>26853771</v>
      </c>
      <c r="G950" s="11">
        <v>24.49</v>
      </c>
    </row>
    <row r="951" spans="1:7">
      <c r="A951" s="8" t="s">
        <v>16</v>
      </c>
      <c r="B951">
        <v>200899</v>
      </c>
      <c r="C951" t="s">
        <v>133</v>
      </c>
      <c r="D951" t="s">
        <v>45</v>
      </c>
      <c r="E951" s="9">
        <v>29.825635999999999</v>
      </c>
      <c r="F951" s="10">
        <v>317698</v>
      </c>
      <c r="G951" s="11">
        <v>10.65</v>
      </c>
    </row>
    <row r="952" spans="1:7">
      <c r="A952" s="8" t="s">
        <v>16</v>
      </c>
      <c r="B952">
        <v>200899</v>
      </c>
      <c r="C952" t="s">
        <v>133</v>
      </c>
      <c r="D952" t="s">
        <v>46</v>
      </c>
      <c r="E952" s="9">
        <v>0.51459999999999995</v>
      </c>
      <c r="F952" s="10">
        <v>18518</v>
      </c>
      <c r="G952" s="11">
        <v>35.99</v>
      </c>
    </row>
    <row r="953" spans="1:7">
      <c r="A953" s="8" t="s">
        <v>16</v>
      </c>
      <c r="B953">
        <v>200899</v>
      </c>
      <c r="C953" t="s">
        <v>133</v>
      </c>
      <c r="D953" t="s">
        <v>47</v>
      </c>
      <c r="E953" s="9">
        <v>1.8712040000000001</v>
      </c>
      <c r="F953" s="10">
        <v>73701</v>
      </c>
      <c r="G953" s="11">
        <v>39.39</v>
      </c>
    </row>
    <row r="954" spans="1:7">
      <c r="A954" s="8" t="s">
        <v>16</v>
      </c>
      <c r="B954">
        <v>200899</v>
      </c>
      <c r="C954" t="s">
        <v>133</v>
      </c>
      <c r="D954" t="s">
        <v>193</v>
      </c>
      <c r="E954" s="9">
        <v>4.4000000000000003E-3</v>
      </c>
      <c r="F954" s="10">
        <v>717</v>
      </c>
      <c r="G954" s="11">
        <v>162.94999999999999</v>
      </c>
    </row>
    <row r="955" spans="1:7">
      <c r="A955" s="8" t="s">
        <v>16</v>
      </c>
      <c r="B955">
        <v>200899</v>
      </c>
      <c r="C955" t="s">
        <v>133</v>
      </c>
      <c r="D955" t="s">
        <v>48</v>
      </c>
      <c r="E955" s="9">
        <v>251.25796</v>
      </c>
      <c r="F955" s="10">
        <v>758626</v>
      </c>
      <c r="G955" s="11">
        <v>3.02</v>
      </c>
    </row>
    <row r="956" spans="1:7">
      <c r="A956" s="8" t="s">
        <v>16</v>
      </c>
      <c r="B956">
        <v>200899</v>
      </c>
      <c r="C956" t="s">
        <v>133</v>
      </c>
      <c r="D956" t="s">
        <v>135</v>
      </c>
      <c r="E956" s="9">
        <v>1.3682000000000001</v>
      </c>
      <c r="F956" s="10">
        <v>30737</v>
      </c>
      <c r="G956" s="11">
        <v>22.47</v>
      </c>
    </row>
    <row r="957" spans="1:7">
      <c r="A957" s="8" t="s">
        <v>16</v>
      </c>
      <c r="B957">
        <v>200899</v>
      </c>
      <c r="C957" t="s">
        <v>133</v>
      </c>
      <c r="D957" t="s">
        <v>49</v>
      </c>
      <c r="E957" s="9">
        <v>1.66995</v>
      </c>
      <c r="F957" s="10">
        <v>66085</v>
      </c>
      <c r="G957" s="11">
        <v>39.57</v>
      </c>
    </row>
    <row r="958" spans="1:7">
      <c r="A958" s="8" t="s">
        <v>16</v>
      </c>
      <c r="B958">
        <v>200899</v>
      </c>
      <c r="C958" t="s">
        <v>133</v>
      </c>
      <c r="D958" t="s">
        <v>167</v>
      </c>
      <c r="E958" s="9">
        <v>0.16800000000000001</v>
      </c>
      <c r="F958" s="10">
        <v>5784</v>
      </c>
      <c r="G958" s="11">
        <v>34.43</v>
      </c>
    </row>
    <row r="959" spans="1:7">
      <c r="A959" s="8" t="s">
        <v>16</v>
      </c>
      <c r="B959">
        <v>200899</v>
      </c>
      <c r="C959" t="s">
        <v>133</v>
      </c>
      <c r="D959" t="s">
        <v>50</v>
      </c>
      <c r="E959" s="9">
        <v>91.961494000000002</v>
      </c>
      <c r="F959" s="10">
        <v>2518844</v>
      </c>
      <c r="G959" s="11">
        <v>27.39</v>
      </c>
    </row>
    <row r="960" spans="1:7">
      <c r="A960" s="8" t="s">
        <v>16</v>
      </c>
      <c r="B960">
        <v>200899</v>
      </c>
      <c r="C960" t="s">
        <v>133</v>
      </c>
      <c r="D960" t="s">
        <v>51</v>
      </c>
      <c r="E960" s="9">
        <v>1.3054399999999999</v>
      </c>
      <c r="F960" s="10">
        <v>77033</v>
      </c>
      <c r="G960" s="11">
        <v>59.01</v>
      </c>
    </row>
    <row r="961" spans="1:7">
      <c r="A961" s="8" t="s">
        <v>16</v>
      </c>
      <c r="B961">
        <v>200899</v>
      </c>
      <c r="C961" t="s">
        <v>133</v>
      </c>
      <c r="D961" t="s">
        <v>136</v>
      </c>
      <c r="E961" s="9">
        <v>19.05639</v>
      </c>
      <c r="F961" s="10">
        <v>562754</v>
      </c>
      <c r="G961" s="11">
        <v>29.53</v>
      </c>
    </row>
    <row r="962" spans="1:7">
      <c r="A962" s="8" t="s">
        <v>16</v>
      </c>
      <c r="B962">
        <v>200899</v>
      </c>
      <c r="C962" t="s">
        <v>133</v>
      </c>
      <c r="D962" t="s">
        <v>52</v>
      </c>
      <c r="E962" s="9">
        <v>3.1257779999999999</v>
      </c>
      <c r="F962" s="10">
        <v>136189</v>
      </c>
      <c r="G962" s="11">
        <v>43.57</v>
      </c>
    </row>
    <row r="963" spans="1:7">
      <c r="A963" s="8" t="s">
        <v>16</v>
      </c>
      <c r="B963">
        <v>200899</v>
      </c>
      <c r="C963" t="s">
        <v>133</v>
      </c>
      <c r="D963" t="s">
        <v>180</v>
      </c>
      <c r="E963" s="9">
        <v>1</v>
      </c>
      <c r="F963" s="10">
        <v>397</v>
      </c>
      <c r="G963" s="11">
        <v>0.4</v>
      </c>
    </row>
    <row r="964" spans="1:7">
      <c r="A964" s="8" t="s">
        <v>16</v>
      </c>
      <c r="B964">
        <v>200899</v>
      </c>
      <c r="C964" t="s">
        <v>133</v>
      </c>
      <c r="D964" t="s">
        <v>137</v>
      </c>
      <c r="E964" s="9">
        <v>11.013479999999999</v>
      </c>
      <c r="F964" s="10">
        <v>383045</v>
      </c>
      <c r="G964" s="11">
        <v>34.78</v>
      </c>
    </row>
    <row r="965" spans="1:7">
      <c r="A965" s="8" t="s">
        <v>16</v>
      </c>
      <c r="B965">
        <v>200899</v>
      </c>
      <c r="C965" t="s">
        <v>133</v>
      </c>
      <c r="D965" t="s">
        <v>53</v>
      </c>
      <c r="E965" s="9">
        <v>59.461914</v>
      </c>
      <c r="F965" s="10">
        <v>1661702</v>
      </c>
      <c r="G965" s="11">
        <v>27.95</v>
      </c>
    </row>
    <row r="966" spans="1:7">
      <c r="A966" s="8" t="s">
        <v>16</v>
      </c>
      <c r="B966">
        <v>200899</v>
      </c>
      <c r="C966" t="s">
        <v>133</v>
      </c>
      <c r="D966" t="s">
        <v>54</v>
      </c>
      <c r="E966" s="9">
        <v>1143.599428</v>
      </c>
      <c r="F966" s="10">
        <v>35111639</v>
      </c>
      <c r="G966" s="11">
        <v>30.7</v>
      </c>
    </row>
    <row r="967" spans="1:7">
      <c r="A967" s="8" t="s">
        <v>16</v>
      </c>
      <c r="B967">
        <v>200899</v>
      </c>
      <c r="C967" t="s">
        <v>133</v>
      </c>
      <c r="D967" t="s">
        <v>184</v>
      </c>
      <c r="E967" s="9">
        <v>1E-3</v>
      </c>
      <c r="F967" s="10">
        <v>30</v>
      </c>
      <c r="G967" s="11">
        <v>30</v>
      </c>
    </row>
    <row r="968" spans="1:7">
      <c r="A968" s="8" t="s">
        <v>16</v>
      </c>
      <c r="B968">
        <v>200899</v>
      </c>
      <c r="C968" t="s">
        <v>133</v>
      </c>
      <c r="D968" t="s">
        <v>172</v>
      </c>
      <c r="E968" s="9">
        <v>0.61432900000000001</v>
      </c>
      <c r="F968" s="10">
        <v>12900</v>
      </c>
      <c r="G968" s="11">
        <v>21</v>
      </c>
    </row>
    <row r="969" spans="1:7">
      <c r="A969" s="8" t="s">
        <v>16</v>
      </c>
      <c r="B969">
        <v>200899</v>
      </c>
      <c r="C969" t="s">
        <v>133</v>
      </c>
      <c r="D969" t="s">
        <v>55</v>
      </c>
      <c r="E969" s="9">
        <v>43.259745000000002</v>
      </c>
      <c r="F969" s="10">
        <v>1398975</v>
      </c>
      <c r="G969" s="11">
        <v>32.340000000000003</v>
      </c>
    </row>
    <row r="970" spans="1:7">
      <c r="A970" s="8" t="s">
        <v>16</v>
      </c>
      <c r="B970">
        <v>200899</v>
      </c>
      <c r="C970" t="s">
        <v>133</v>
      </c>
      <c r="D970" t="s">
        <v>56</v>
      </c>
      <c r="E970" s="9">
        <v>1881.173806</v>
      </c>
      <c r="F970" s="10">
        <v>20700591</v>
      </c>
      <c r="G970" s="11">
        <v>11</v>
      </c>
    </row>
    <row r="971" spans="1:7">
      <c r="A971" s="8" t="s">
        <v>16</v>
      </c>
      <c r="B971">
        <v>200899</v>
      </c>
      <c r="C971" t="s">
        <v>133</v>
      </c>
      <c r="D971" t="s">
        <v>57</v>
      </c>
      <c r="E971" s="9">
        <v>4.1271269999999998</v>
      </c>
      <c r="F971" s="10">
        <v>167341</v>
      </c>
      <c r="G971" s="11">
        <v>40.549999999999997</v>
      </c>
    </row>
    <row r="972" spans="1:7">
      <c r="A972" s="8" t="s">
        <v>16</v>
      </c>
      <c r="B972">
        <v>200899</v>
      </c>
      <c r="C972" t="s">
        <v>133</v>
      </c>
      <c r="D972" t="s">
        <v>139</v>
      </c>
      <c r="E972" s="9">
        <v>0.67301999999999995</v>
      </c>
      <c r="F972" s="10">
        <v>24162</v>
      </c>
      <c r="G972" s="11">
        <v>35.9</v>
      </c>
    </row>
    <row r="973" spans="1:7">
      <c r="A973" s="8" t="s">
        <v>16</v>
      </c>
      <c r="B973">
        <v>200899</v>
      </c>
      <c r="C973" t="s">
        <v>133</v>
      </c>
      <c r="D973" t="s">
        <v>58</v>
      </c>
      <c r="E973" s="9">
        <v>0.43931999999999999</v>
      </c>
      <c r="F973" s="10">
        <v>11295</v>
      </c>
      <c r="G973" s="11">
        <v>25.71</v>
      </c>
    </row>
    <row r="974" spans="1:7">
      <c r="A974" s="8" t="s">
        <v>16</v>
      </c>
      <c r="B974">
        <v>200899</v>
      </c>
      <c r="C974" t="s">
        <v>133</v>
      </c>
      <c r="D974" t="s">
        <v>59</v>
      </c>
      <c r="E974" s="9">
        <v>152.71128999999999</v>
      </c>
      <c r="F974" s="10">
        <v>935244</v>
      </c>
      <c r="G974" s="11">
        <v>6.12</v>
      </c>
    </row>
    <row r="975" spans="1:7">
      <c r="A975" s="8" t="s">
        <v>16</v>
      </c>
      <c r="B975">
        <v>200899</v>
      </c>
      <c r="C975" t="s">
        <v>133</v>
      </c>
      <c r="D975" t="s">
        <v>60</v>
      </c>
      <c r="E975" s="9">
        <v>120.31699999999999</v>
      </c>
      <c r="F975" s="10">
        <v>421729</v>
      </c>
      <c r="G975" s="11">
        <v>3.51</v>
      </c>
    </row>
    <row r="976" spans="1:7">
      <c r="A976" s="8" t="s">
        <v>16</v>
      </c>
      <c r="B976">
        <v>200899</v>
      </c>
      <c r="C976" t="s">
        <v>133</v>
      </c>
      <c r="D976" t="s">
        <v>61</v>
      </c>
      <c r="E976" s="9">
        <v>0.21332000000000001</v>
      </c>
      <c r="F976" s="10">
        <v>11047</v>
      </c>
      <c r="G976" s="11">
        <v>51.79</v>
      </c>
    </row>
    <row r="977" spans="1:7">
      <c r="A977" s="8" t="s">
        <v>16</v>
      </c>
      <c r="B977">
        <v>200899</v>
      </c>
      <c r="C977" t="s">
        <v>133</v>
      </c>
      <c r="D977" t="s">
        <v>140</v>
      </c>
      <c r="E977" s="9">
        <v>0.97816000000000003</v>
      </c>
      <c r="F977" s="10">
        <v>36989</v>
      </c>
      <c r="G977" s="11">
        <v>37.81</v>
      </c>
    </row>
    <row r="978" spans="1:7">
      <c r="A978" s="8" t="s">
        <v>16</v>
      </c>
      <c r="B978">
        <v>200899</v>
      </c>
      <c r="C978" t="s">
        <v>133</v>
      </c>
      <c r="D978" t="s">
        <v>194</v>
      </c>
      <c r="E978" s="9">
        <v>9.5999999999999992E-3</v>
      </c>
      <c r="F978" s="10">
        <v>413</v>
      </c>
      <c r="G978" s="11">
        <v>43.02</v>
      </c>
    </row>
    <row r="979" spans="1:7">
      <c r="A979" s="8" t="s">
        <v>16</v>
      </c>
      <c r="B979">
        <v>200899</v>
      </c>
      <c r="C979" t="s">
        <v>133</v>
      </c>
      <c r="D979" t="s">
        <v>141</v>
      </c>
      <c r="E979" s="9">
        <v>4.6596799999999998</v>
      </c>
      <c r="F979" s="10">
        <v>155940</v>
      </c>
      <c r="G979" s="11">
        <v>33.47</v>
      </c>
    </row>
    <row r="980" spans="1:7">
      <c r="A980" s="8" t="s">
        <v>16</v>
      </c>
      <c r="B980">
        <v>200899</v>
      </c>
      <c r="C980" t="s">
        <v>133</v>
      </c>
      <c r="D980" t="s">
        <v>62</v>
      </c>
      <c r="E980" s="9">
        <v>1.3406</v>
      </c>
      <c r="F980" s="10">
        <v>57836</v>
      </c>
      <c r="G980" s="11">
        <v>43.14</v>
      </c>
    </row>
    <row r="981" spans="1:7">
      <c r="A981" s="8" t="s">
        <v>16</v>
      </c>
      <c r="B981">
        <v>200899</v>
      </c>
      <c r="C981" t="s">
        <v>133</v>
      </c>
      <c r="D981" t="s">
        <v>142</v>
      </c>
      <c r="E981" s="9">
        <v>3.2898230000000002</v>
      </c>
      <c r="F981" s="10">
        <v>116367</v>
      </c>
      <c r="G981" s="11">
        <v>35.369999999999997</v>
      </c>
    </row>
    <row r="982" spans="1:7">
      <c r="A982" s="8" t="s">
        <v>16</v>
      </c>
      <c r="B982">
        <v>200899</v>
      </c>
      <c r="C982" t="s">
        <v>133</v>
      </c>
      <c r="D982" t="s">
        <v>63</v>
      </c>
      <c r="E982" s="9">
        <v>294.53513199999998</v>
      </c>
      <c r="F982" s="10">
        <v>7968810</v>
      </c>
      <c r="G982" s="11">
        <v>27.06</v>
      </c>
    </row>
    <row r="983" spans="1:7">
      <c r="A983" s="8" t="s">
        <v>16</v>
      </c>
      <c r="B983">
        <v>200899</v>
      </c>
      <c r="C983" t="s">
        <v>133</v>
      </c>
      <c r="D983" t="s">
        <v>191</v>
      </c>
      <c r="E983" s="9">
        <v>0.13289999999999999</v>
      </c>
      <c r="F983" s="10">
        <v>906</v>
      </c>
      <c r="G983" s="11">
        <v>6.82</v>
      </c>
    </row>
    <row r="984" spans="1:7">
      <c r="A984" s="8" t="s">
        <v>16</v>
      </c>
      <c r="B984">
        <v>200899</v>
      </c>
      <c r="C984" t="s">
        <v>133</v>
      </c>
      <c r="D984" t="s">
        <v>143</v>
      </c>
      <c r="E984" s="9">
        <v>9.5890000000000003E-2</v>
      </c>
      <c r="F984" s="10">
        <v>3972</v>
      </c>
      <c r="G984" s="11">
        <v>41.42</v>
      </c>
    </row>
    <row r="985" spans="1:7">
      <c r="A985" s="8" t="s">
        <v>16</v>
      </c>
      <c r="B985">
        <v>200899</v>
      </c>
      <c r="C985" t="s">
        <v>133</v>
      </c>
      <c r="D985" t="s">
        <v>64</v>
      </c>
      <c r="E985" s="9">
        <v>511.34012999999999</v>
      </c>
      <c r="F985" s="10">
        <v>15501812</v>
      </c>
      <c r="G985" s="11">
        <v>30.32</v>
      </c>
    </row>
    <row r="986" spans="1:7">
      <c r="A986" s="8" t="s">
        <v>16</v>
      </c>
      <c r="B986">
        <v>200899</v>
      </c>
      <c r="C986" t="s">
        <v>133</v>
      </c>
      <c r="D986" t="s">
        <v>144</v>
      </c>
      <c r="E986" s="9">
        <v>0.13843</v>
      </c>
      <c r="F986" s="10">
        <v>5520</v>
      </c>
      <c r="G986" s="11">
        <v>39.880000000000003</v>
      </c>
    </row>
    <row r="987" spans="1:7">
      <c r="A987" s="8" t="s">
        <v>16</v>
      </c>
      <c r="B987">
        <v>200899</v>
      </c>
      <c r="C987" t="s">
        <v>133</v>
      </c>
      <c r="D987" t="s">
        <v>65</v>
      </c>
      <c r="E987" s="9">
        <v>12.083600000000001</v>
      </c>
      <c r="F987" s="10">
        <v>441580</v>
      </c>
      <c r="G987" s="11">
        <v>36.54</v>
      </c>
    </row>
    <row r="988" spans="1:7">
      <c r="A988" s="8" t="s">
        <v>16</v>
      </c>
      <c r="B988">
        <v>200899</v>
      </c>
      <c r="C988" t="s">
        <v>133</v>
      </c>
      <c r="D988" t="s">
        <v>66</v>
      </c>
      <c r="E988" s="9">
        <v>20.855606000000002</v>
      </c>
      <c r="F988" s="10">
        <v>414342</v>
      </c>
      <c r="G988" s="11">
        <v>19.87</v>
      </c>
    </row>
    <row r="989" spans="1:7">
      <c r="A989" s="8" t="s">
        <v>16</v>
      </c>
      <c r="B989">
        <v>200899</v>
      </c>
      <c r="C989" t="s">
        <v>133</v>
      </c>
      <c r="D989" t="s">
        <v>67</v>
      </c>
      <c r="E989" s="9">
        <v>2.94781</v>
      </c>
      <c r="F989" s="10">
        <v>103917</v>
      </c>
      <c r="G989" s="11">
        <v>35.25</v>
      </c>
    </row>
    <row r="990" spans="1:7">
      <c r="A990" s="8" t="s">
        <v>16</v>
      </c>
      <c r="B990">
        <v>200899</v>
      </c>
      <c r="C990" t="s">
        <v>133</v>
      </c>
      <c r="D990" t="s">
        <v>68</v>
      </c>
      <c r="E990" s="9">
        <v>1.5209999999999999</v>
      </c>
      <c r="F990" s="10">
        <v>309</v>
      </c>
      <c r="G990" s="11">
        <v>0.2</v>
      </c>
    </row>
    <row r="991" spans="1:7">
      <c r="A991" s="8" t="s">
        <v>16</v>
      </c>
      <c r="B991">
        <v>200899</v>
      </c>
      <c r="C991" t="s">
        <v>133</v>
      </c>
      <c r="D991" t="s">
        <v>70</v>
      </c>
      <c r="E991" s="9">
        <v>396.09272199999998</v>
      </c>
      <c r="F991" s="10">
        <v>9306954</v>
      </c>
      <c r="G991" s="11">
        <v>23.5</v>
      </c>
    </row>
    <row r="992" spans="1:7">
      <c r="A992" s="8" t="s">
        <v>16</v>
      </c>
      <c r="B992">
        <v>200899</v>
      </c>
      <c r="C992" t="s">
        <v>133</v>
      </c>
      <c r="D992" t="s">
        <v>71</v>
      </c>
      <c r="E992" s="9">
        <v>0.98592500000000005</v>
      </c>
      <c r="F992" s="10">
        <v>44753</v>
      </c>
      <c r="G992" s="11">
        <v>45.39</v>
      </c>
    </row>
    <row r="993" spans="1:7">
      <c r="A993" s="8" t="s">
        <v>16</v>
      </c>
      <c r="B993">
        <v>200899</v>
      </c>
      <c r="C993" t="s">
        <v>133</v>
      </c>
      <c r="D993" t="s">
        <v>72</v>
      </c>
      <c r="E993" s="9">
        <v>256.56027999999998</v>
      </c>
      <c r="F993" s="10">
        <v>9384382</v>
      </c>
      <c r="G993" s="11">
        <v>36.58</v>
      </c>
    </row>
    <row r="994" spans="1:7">
      <c r="A994" s="8" t="s">
        <v>16</v>
      </c>
      <c r="B994">
        <v>200899</v>
      </c>
      <c r="C994" t="s">
        <v>133</v>
      </c>
      <c r="D994" t="s">
        <v>73</v>
      </c>
      <c r="E994" s="9">
        <v>0.58110499999999998</v>
      </c>
      <c r="F994" s="10">
        <v>10996</v>
      </c>
      <c r="G994" s="11">
        <v>18.920000000000002</v>
      </c>
    </row>
    <row r="995" spans="1:7">
      <c r="A995" s="8" t="s">
        <v>16</v>
      </c>
      <c r="B995">
        <v>200899</v>
      </c>
      <c r="C995" t="s">
        <v>133</v>
      </c>
      <c r="D995" t="s">
        <v>74</v>
      </c>
      <c r="E995" s="9">
        <v>10.712363</v>
      </c>
      <c r="F995" s="10">
        <v>494918</v>
      </c>
      <c r="G995" s="11">
        <v>46.2</v>
      </c>
    </row>
    <row r="996" spans="1:7">
      <c r="A996" s="8" t="s">
        <v>16</v>
      </c>
      <c r="B996">
        <v>200899</v>
      </c>
      <c r="C996" t="s">
        <v>133</v>
      </c>
      <c r="D996" t="s">
        <v>75</v>
      </c>
      <c r="E996" s="9">
        <v>79.260002999999998</v>
      </c>
      <c r="F996" s="10">
        <v>3302806</v>
      </c>
      <c r="G996" s="11">
        <v>41.67</v>
      </c>
    </row>
    <row r="997" spans="1:7">
      <c r="A997" s="8" t="s">
        <v>16</v>
      </c>
      <c r="B997">
        <v>200899</v>
      </c>
      <c r="C997" t="s">
        <v>133</v>
      </c>
      <c r="D997" t="s">
        <v>76</v>
      </c>
      <c r="E997" s="9">
        <v>31.685282000000001</v>
      </c>
      <c r="F997" s="10">
        <v>1135822</v>
      </c>
      <c r="G997" s="11">
        <v>35.85</v>
      </c>
    </row>
    <row r="998" spans="1:7">
      <c r="A998" s="8" t="s">
        <v>16</v>
      </c>
      <c r="B998">
        <v>200899</v>
      </c>
      <c r="C998" t="s">
        <v>133</v>
      </c>
      <c r="D998" t="s">
        <v>77</v>
      </c>
      <c r="E998" s="9">
        <v>8.0000000000000002E-3</v>
      </c>
      <c r="F998" s="10">
        <v>260</v>
      </c>
      <c r="G998" s="11">
        <v>32.5</v>
      </c>
    </row>
    <row r="999" spans="1:7">
      <c r="A999" s="8" t="s">
        <v>16</v>
      </c>
      <c r="B999">
        <v>200899</v>
      </c>
      <c r="C999" t="s">
        <v>133</v>
      </c>
      <c r="D999" t="s">
        <v>78</v>
      </c>
      <c r="E999" s="9">
        <v>4214.260225</v>
      </c>
      <c r="F999" s="10">
        <v>103884465</v>
      </c>
      <c r="G999" s="11">
        <v>24.65</v>
      </c>
    </row>
    <row r="1000" spans="1:7">
      <c r="A1000" s="8" t="s">
        <v>16</v>
      </c>
      <c r="B1000">
        <v>200899</v>
      </c>
      <c r="C1000" t="s">
        <v>133</v>
      </c>
      <c r="D1000" t="s">
        <v>79</v>
      </c>
      <c r="E1000" s="9">
        <v>89.017983000000001</v>
      </c>
      <c r="F1000" s="10">
        <v>2173472</v>
      </c>
      <c r="G1000" s="11">
        <v>24.42</v>
      </c>
    </row>
    <row r="1001" spans="1:7">
      <c r="A1001" s="8" t="s">
        <v>16</v>
      </c>
      <c r="B1001">
        <v>200899</v>
      </c>
      <c r="C1001" t="s">
        <v>133</v>
      </c>
      <c r="D1001" t="s">
        <v>145</v>
      </c>
      <c r="E1001" s="9">
        <v>14.533099999999999</v>
      </c>
      <c r="F1001" s="10">
        <v>97530</v>
      </c>
      <c r="G1001" s="11">
        <v>6.71</v>
      </c>
    </row>
    <row r="1002" spans="1:7">
      <c r="A1002" s="8" t="s">
        <v>16</v>
      </c>
      <c r="B1002">
        <v>200899</v>
      </c>
      <c r="C1002" t="s">
        <v>133</v>
      </c>
      <c r="D1002" t="s">
        <v>80</v>
      </c>
      <c r="E1002" s="9">
        <v>0.1002</v>
      </c>
      <c r="F1002" s="10">
        <v>1814</v>
      </c>
      <c r="G1002" s="11">
        <v>18.100000000000001</v>
      </c>
    </row>
    <row r="1003" spans="1:7">
      <c r="A1003" s="8" t="s">
        <v>16</v>
      </c>
      <c r="B1003">
        <v>200899</v>
      </c>
      <c r="C1003" t="s">
        <v>133</v>
      </c>
      <c r="D1003" t="s">
        <v>81</v>
      </c>
      <c r="E1003" s="9">
        <v>4.59267</v>
      </c>
      <c r="F1003" s="10">
        <v>204597</v>
      </c>
      <c r="G1003" s="11">
        <v>44.55</v>
      </c>
    </row>
    <row r="1004" spans="1:7">
      <c r="A1004" s="8" t="s">
        <v>16</v>
      </c>
      <c r="B1004">
        <v>200899</v>
      </c>
      <c r="C1004" t="s">
        <v>133</v>
      </c>
      <c r="D1004" t="s">
        <v>82</v>
      </c>
      <c r="E1004" s="9">
        <v>6.6002359999999998</v>
      </c>
      <c r="F1004" s="10">
        <v>126759</v>
      </c>
      <c r="G1004" s="11">
        <v>19.21</v>
      </c>
    </row>
    <row r="1005" spans="1:7">
      <c r="A1005" s="8" t="s">
        <v>16</v>
      </c>
      <c r="B1005">
        <v>200899</v>
      </c>
      <c r="C1005" t="s">
        <v>133</v>
      </c>
      <c r="D1005" t="s">
        <v>83</v>
      </c>
      <c r="E1005" s="9">
        <v>17.770714000000002</v>
      </c>
      <c r="F1005" s="10">
        <v>342395</v>
      </c>
      <c r="G1005" s="11">
        <v>19.27</v>
      </c>
    </row>
    <row r="1006" spans="1:7">
      <c r="A1006" s="8" t="s">
        <v>16</v>
      </c>
      <c r="B1006">
        <v>200899</v>
      </c>
      <c r="C1006" t="s">
        <v>133</v>
      </c>
      <c r="D1006" t="s">
        <v>84</v>
      </c>
      <c r="E1006" s="9">
        <v>1.32904</v>
      </c>
      <c r="F1006" s="10">
        <v>43746</v>
      </c>
      <c r="G1006" s="11">
        <v>32.92</v>
      </c>
    </row>
    <row r="1007" spans="1:7">
      <c r="A1007" s="8" t="s">
        <v>16</v>
      </c>
      <c r="B1007">
        <v>200899</v>
      </c>
      <c r="C1007" t="s">
        <v>133</v>
      </c>
      <c r="D1007" t="s">
        <v>146</v>
      </c>
      <c r="E1007" s="9">
        <v>9.9060000000000006</v>
      </c>
      <c r="F1007" s="10">
        <v>364149</v>
      </c>
      <c r="G1007" s="11">
        <v>36.76</v>
      </c>
    </row>
    <row r="1008" spans="1:7">
      <c r="A1008" s="8" t="s">
        <v>16</v>
      </c>
      <c r="B1008">
        <v>200899</v>
      </c>
      <c r="C1008" t="s">
        <v>133</v>
      </c>
      <c r="D1008" t="s">
        <v>86</v>
      </c>
      <c r="E1008" s="9">
        <v>37.658852000000003</v>
      </c>
      <c r="F1008" s="10">
        <v>1393260</v>
      </c>
      <c r="G1008" s="11">
        <v>37</v>
      </c>
    </row>
    <row r="1009" spans="1:7">
      <c r="A1009" s="8" t="s">
        <v>16</v>
      </c>
      <c r="B1009">
        <v>200899</v>
      </c>
      <c r="C1009" t="s">
        <v>133</v>
      </c>
      <c r="D1009" t="s">
        <v>87</v>
      </c>
      <c r="E1009" s="9">
        <v>3.2053090000000002</v>
      </c>
      <c r="F1009" s="10">
        <v>43936</v>
      </c>
      <c r="G1009" s="11">
        <v>13.71</v>
      </c>
    </row>
    <row r="1010" spans="1:7">
      <c r="A1010" s="8" t="s">
        <v>16</v>
      </c>
      <c r="B1010">
        <v>200899</v>
      </c>
      <c r="C1010" t="s">
        <v>133</v>
      </c>
      <c r="D1010" t="s">
        <v>149</v>
      </c>
      <c r="E1010" s="9">
        <v>0.01</v>
      </c>
      <c r="F1010" s="10">
        <v>59</v>
      </c>
      <c r="G1010" s="11">
        <v>5.9</v>
      </c>
    </row>
    <row r="1011" spans="1:7">
      <c r="A1011" s="8" t="s">
        <v>16</v>
      </c>
      <c r="B1011">
        <v>200899</v>
      </c>
      <c r="C1011" t="s">
        <v>133</v>
      </c>
      <c r="D1011" t="s">
        <v>88</v>
      </c>
      <c r="E1011" s="9">
        <v>463.78984500000001</v>
      </c>
      <c r="F1011" s="10">
        <v>6867149</v>
      </c>
      <c r="G1011" s="11">
        <v>14.81</v>
      </c>
    </row>
    <row r="1012" spans="1:7">
      <c r="A1012" s="8" t="s">
        <v>16</v>
      </c>
      <c r="B1012">
        <v>200899</v>
      </c>
      <c r="C1012" t="s">
        <v>133</v>
      </c>
      <c r="D1012" t="s">
        <v>89</v>
      </c>
      <c r="E1012" s="9">
        <v>0.10199999999999999</v>
      </c>
      <c r="F1012" s="10">
        <v>4367</v>
      </c>
      <c r="G1012" s="11">
        <v>42.81</v>
      </c>
    </row>
    <row r="1013" spans="1:7">
      <c r="A1013" s="8" t="s">
        <v>16</v>
      </c>
      <c r="B1013">
        <v>200899</v>
      </c>
      <c r="C1013" t="s">
        <v>133</v>
      </c>
      <c r="D1013" t="s">
        <v>168</v>
      </c>
      <c r="E1013" s="9">
        <v>0.77110000000000001</v>
      </c>
      <c r="F1013" s="10">
        <v>26109</v>
      </c>
      <c r="G1013" s="11">
        <v>33.86</v>
      </c>
    </row>
    <row r="1014" spans="1:7">
      <c r="A1014" s="8" t="s">
        <v>16</v>
      </c>
      <c r="B1014">
        <v>200899</v>
      </c>
      <c r="C1014" t="s">
        <v>133</v>
      </c>
      <c r="D1014" t="s">
        <v>90</v>
      </c>
      <c r="E1014" s="9">
        <v>134.70363399999999</v>
      </c>
      <c r="F1014" s="10">
        <v>4415417</v>
      </c>
      <c r="G1014" s="11">
        <v>32.78</v>
      </c>
    </row>
    <row r="1015" spans="1:7">
      <c r="A1015" s="8" t="s">
        <v>16</v>
      </c>
      <c r="B1015">
        <v>200899</v>
      </c>
      <c r="C1015" t="s">
        <v>133</v>
      </c>
      <c r="D1015" t="s">
        <v>91</v>
      </c>
      <c r="E1015" s="9">
        <v>815.90591800000004</v>
      </c>
      <c r="F1015" s="10">
        <v>18734016</v>
      </c>
      <c r="G1015" s="11">
        <v>22.96</v>
      </c>
    </row>
    <row r="1016" spans="1:7">
      <c r="A1016" s="8" t="s">
        <v>16</v>
      </c>
      <c r="B1016">
        <v>200899</v>
      </c>
      <c r="C1016" t="s">
        <v>133</v>
      </c>
      <c r="D1016" t="s">
        <v>92</v>
      </c>
      <c r="E1016" s="9">
        <v>251.822655</v>
      </c>
      <c r="F1016" s="10">
        <v>4231569</v>
      </c>
      <c r="G1016" s="11">
        <v>16.8</v>
      </c>
    </row>
    <row r="1017" spans="1:7">
      <c r="A1017" s="8" t="s">
        <v>16</v>
      </c>
      <c r="B1017">
        <v>200899</v>
      </c>
      <c r="C1017" t="s">
        <v>133</v>
      </c>
      <c r="D1017" t="s">
        <v>93</v>
      </c>
      <c r="E1017" s="9">
        <v>0.10367999999999999</v>
      </c>
      <c r="F1017" s="10">
        <v>4512</v>
      </c>
      <c r="G1017" s="11">
        <v>43.52</v>
      </c>
    </row>
    <row r="1018" spans="1:7">
      <c r="A1018" s="8" t="s">
        <v>16</v>
      </c>
      <c r="B1018">
        <v>200899</v>
      </c>
      <c r="C1018" t="s">
        <v>133</v>
      </c>
      <c r="D1018" t="s">
        <v>94</v>
      </c>
      <c r="E1018" s="9">
        <v>1.113634</v>
      </c>
      <c r="F1018" s="10">
        <v>29818</v>
      </c>
      <c r="G1018" s="11">
        <v>26.78</v>
      </c>
    </row>
    <row r="1019" spans="1:7">
      <c r="A1019" s="8" t="s">
        <v>16</v>
      </c>
      <c r="B1019">
        <v>200899</v>
      </c>
      <c r="C1019" t="s">
        <v>133</v>
      </c>
      <c r="D1019" t="s">
        <v>169</v>
      </c>
      <c r="E1019" s="9">
        <v>3.8E-3</v>
      </c>
      <c r="F1019" s="10">
        <v>269</v>
      </c>
      <c r="G1019" s="11">
        <v>70.790000000000006</v>
      </c>
    </row>
    <row r="1020" spans="1:7">
      <c r="A1020" s="8" t="s">
        <v>16</v>
      </c>
      <c r="B1020">
        <v>200899</v>
      </c>
      <c r="C1020" t="s">
        <v>133</v>
      </c>
      <c r="D1020" t="s">
        <v>151</v>
      </c>
      <c r="E1020" s="9">
        <v>0.34238000000000002</v>
      </c>
      <c r="F1020" s="10">
        <v>14874</v>
      </c>
      <c r="G1020" s="11">
        <v>43.44</v>
      </c>
    </row>
    <row r="1021" spans="1:7">
      <c r="A1021" s="8" t="s">
        <v>16</v>
      </c>
      <c r="B1021">
        <v>200899</v>
      </c>
      <c r="C1021" t="s">
        <v>133</v>
      </c>
      <c r="D1021" t="s">
        <v>152</v>
      </c>
      <c r="E1021" s="9">
        <v>2.7075900000000002</v>
      </c>
      <c r="F1021" s="10">
        <v>104516</v>
      </c>
      <c r="G1021" s="11">
        <v>38.6</v>
      </c>
    </row>
    <row r="1022" spans="1:7">
      <c r="A1022" s="8" t="s">
        <v>16</v>
      </c>
      <c r="B1022">
        <v>200899</v>
      </c>
      <c r="C1022" t="s">
        <v>133</v>
      </c>
      <c r="D1022" t="s">
        <v>95</v>
      </c>
      <c r="E1022" s="9">
        <v>412.96092700000003</v>
      </c>
      <c r="F1022" s="10">
        <v>12579526</v>
      </c>
      <c r="G1022" s="11">
        <v>30.46</v>
      </c>
    </row>
    <row r="1023" spans="1:7">
      <c r="A1023" s="8" t="s">
        <v>16</v>
      </c>
      <c r="B1023">
        <v>200899</v>
      </c>
      <c r="C1023" t="s">
        <v>133</v>
      </c>
      <c r="D1023" t="s">
        <v>170</v>
      </c>
      <c r="E1023" s="9">
        <v>6.4000000000000003E-3</v>
      </c>
      <c r="F1023" s="10">
        <v>312</v>
      </c>
      <c r="G1023" s="11">
        <v>48.75</v>
      </c>
    </row>
    <row r="1024" spans="1:7">
      <c r="A1024" s="8" t="s">
        <v>16</v>
      </c>
      <c r="B1024">
        <v>200899</v>
      </c>
      <c r="C1024" t="s">
        <v>133</v>
      </c>
      <c r="D1024" t="s">
        <v>153</v>
      </c>
      <c r="E1024" s="9">
        <v>0.1085</v>
      </c>
      <c r="F1024" s="10">
        <v>811</v>
      </c>
      <c r="G1024" s="11">
        <v>7.47</v>
      </c>
    </row>
    <row r="1025" spans="1:7">
      <c r="A1025" s="8" t="s">
        <v>16</v>
      </c>
      <c r="B1025">
        <v>200899</v>
      </c>
      <c r="C1025" t="s">
        <v>133</v>
      </c>
      <c r="D1025" t="s">
        <v>97</v>
      </c>
      <c r="E1025" s="9">
        <v>165.188106</v>
      </c>
      <c r="F1025" s="10">
        <v>5259553</v>
      </c>
      <c r="G1025" s="11">
        <v>31.84</v>
      </c>
    </row>
    <row r="1026" spans="1:7">
      <c r="A1026" s="8" t="s">
        <v>16</v>
      </c>
      <c r="B1026">
        <v>200899</v>
      </c>
      <c r="C1026" t="s">
        <v>133</v>
      </c>
      <c r="D1026" t="s">
        <v>154</v>
      </c>
      <c r="E1026" s="9">
        <v>2.528E-2</v>
      </c>
      <c r="F1026" s="10">
        <v>861</v>
      </c>
      <c r="G1026" s="11">
        <v>34.06</v>
      </c>
    </row>
    <row r="1027" spans="1:7">
      <c r="A1027" s="8" t="s">
        <v>16</v>
      </c>
      <c r="B1027">
        <v>200899</v>
      </c>
      <c r="C1027" t="s">
        <v>133</v>
      </c>
      <c r="D1027" t="s">
        <v>98</v>
      </c>
      <c r="E1027" s="9">
        <v>0.85481200000000002</v>
      </c>
      <c r="F1027" s="10">
        <v>6098</v>
      </c>
      <c r="G1027" s="11">
        <v>7.13</v>
      </c>
    </row>
    <row r="1028" spans="1:7">
      <c r="A1028" s="8" t="s">
        <v>16</v>
      </c>
      <c r="B1028">
        <v>200899</v>
      </c>
      <c r="C1028" t="s">
        <v>133</v>
      </c>
      <c r="D1028" t="s">
        <v>99</v>
      </c>
      <c r="E1028" s="9">
        <v>22.61994</v>
      </c>
      <c r="F1028" s="10">
        <v>921735</v>
      </c>
      <c r="G1028" s="11">
        <v>40.75</v>
      </c>
    </row>
    <row r="1029" spans="1:7">
      <c r="A1029" s="8" t="s">
        <v>16</v>
      </c>
      <c r="B1029">
        <v>200899</v>
      </c>
      <c r="C1029" t="s">
        <v>133</v>
      </c>
      <c r="D1029" t="s">
        <v>100</v>
      </c>
      <c r="E1029" s="9">
        <v>4.2098599999999999</v>
      </c>
      <c r="F1029" s="10">
        <v>117394</v>
      </c>
      <c r="G1029" s="11">
        <v>27.89</v>
      </c>
    </row>
    <row r="1030" spans="1:7">
      <c r="A1030" s="8" t="s">
        <v>16</v>
      </c>
      <c r="B1030">
        <v>200899</v>
      </c>
      <c r="C1030" t="s">
        <v>133</v>
      </c>
      <c r="D1030" t="s">
        <v>155</v>
      </c>
      <c r="E1030" s="9">
        <v>0.27941199999999999</v>
      </c>
      <c r="F1030" s="10">
        <v>10233</v>
      </c>
      <c r="G1030" s="11">
        <v>36.619999999999997</v>
      </c>
    </row>
    <row r="1031" spans="1:7">
      <c r="A1031" s="8" t="s">
        <v>16</v>
      </c>
      <c r="B1031">
        <v>200899</v>
      </c>
      <c r="C1031" t="s">
        <v>133</v>
      </c>
      <c r="D1031" t="s">
        <v>101</v>
      </c>
      <c r="E1031" s="9">
        <v>1.9199999999999998E-2</v>
      </c>
      <c r="F1031" s="10">
        <v>84</v>
      </c>
      <c r="G1031" s="11">
        <v>4.38</v>
      </c>
    </row>
    <row r="1032" spans="1:7">
      <c r="A1032" s="8" t="s">
        <v>16</v>
      </c>
      <c r="B1032">
        <v>200899</v>
      </c>
      <c r="C1032" t="s">
        <v>133</v>
      </c>
      <c r="D1032" t="s">
        <v>102</v>
      </c>
      <c r="E1032" s="9">
        <v>1.012195</v>
      </c>
      <c r="F1032" s="10">
        <v>31530</v>
      </c>
      <c r="G1032" s="11">
        <v>31.15</v>
      </c>
    </row>
    <row r="1033" spans="1:7">
      <c r="A1033" s="8" t="s">
        <v>16</v>
      </c>
      <c r="B1033">
        <v>200899</v>
      </c>
      <c r="C1033" t="s">
        <v>133</v>
      </c>
      <c r="D1033" t="s">
        <v>103</v>
      </c>
      <c r="E1033" s="9">
        <v>1.9104559999999999</v>
      </c>
      <c r="F1033" s="10">
        <v>77297</v>
      </c>
      <c r="G1033" s="11">
        <v>40.46</v>
      </c>
    </row>
    <row r="1034" spans="1:7">
      <c r="A1034" s="8" t="s">
        <v>16</v>
      </c>
      <c r="B1034">
        <v>200899</v>
      </c>
      <c r="C1034" t="s">
        <v>133</v>
      </c>
      <c r="D1034" t="s">
        <v>104</v>
      </c>
      <c r="E1034" s="9">
        <v>2.8555100000000002</v>
      </c>
      <c r="F1034" s="10">
        <v>119033</v>
      </c>
      <c r="G1034" s="11">
        <v>41.69</v>
      </c>
    </row>
    <row r="1035" spans="1:7">
      <c r="A1035" s="8" t="s">
        <v>16</v>
      </c>
      <c r="B1035">
        <v>200899</v>
      </c>
      <c r="C1035" t="s">
        <v>133</v>
      </c>
      <c r="D1035" t="s">
        <v>105</v>
      </c>
      <c r="E1035" s="9">
        <v>1.59941</v>
      </c>
      <c r="F1035" s="10">
        <v>60224</v>
      </c>
      <c r="G1035" s="11">
        <v>37.65</v>
      </c>
    </row>
    <row r="1036" spans="1:7">
      <c r="A1036" s="8" t="s">
        <v>16</v>
      </c>
      <c r="B1036">
        <v>200899</v>
      </c>
      <c r="C1036" t="s">
        <v>133</v>
      </c>
      <c r="D1036" t="s">
        <v>106</v>
      </c>
      <c r="E1036" s="9">
        <v>949.033005</v>
      </c>
      <c r="F1036" s="10">
        <v>25485620</v>
      </c>
      <c r="G1036" s="11">
        <v>26.85</v>
      </c>
    </row>
    <row r="1037" spans="1:7">
      <c r="A1037" s="8" t="s">
        <v>16</v>
      </c>
      <c r="B1037">
        <v>200899</v>
      </c>
      <c r="C1037" t="s">
        <v>133</v>
      </c>
      <c r="D1037" t="s">
        <v>107</v>
      </c>
      <c r="E1037" s="9">
        <v>295.47276900000003</v>
      </c>
      <c r="F1037" s="10">
        <v>11131910</v>
      </c>
      <c r="G1037" s="11">
        <v>37.67</v>
      </c>
    </row>
    <row r="1038" spans="1:7">
      <c r="A1038" s="8" t="s">
        <v>16</v>
      </c>
      <c r="B1038">
        <v>200899</v>
      </c>
      <c r="C1038" t="s">
        <v>133</v>
      </c>
      <c r="D1038" t="s">
        <v>157</v>
      </c>
      <c r="E1038" s="9">
        <v>14.729308</v>
      </c>
      <c r="F1038" s="10">
        <v>513156</v>
      </c>
      <c r="G1038" s="11">
        <v>34.840000000000003</v>
      </c>
    </row>
    <row r="1039" spans="1:7">
      <c r="A1039" s="8" t="s">
        <v>16</v>
      </c>
      <c r="B1039">
        <v>200899</v>
      </c>
      <c r="C1039" t="s">
        <v>133</v>
      </c>
      <c r="D1039" t="s">
        <v>181</v>
      </c>
      <c r="E1039" s="9">
        <v>0.16</v>
      </c>
      <c r="F1039" s="10">
        <v>631</v>
      </c>
      <c r="G1039" s="11">
        <v>3.94</v>
      </c>
    </row>
    <row r="1040" spans="1:7">
      <c r="A1040" s="8" t="s">
        <v>16</v>
      </c>
      <c r="B1040">
        <v>200899</v>
      </c>
      <c r="C1040" t="s">
        <v>133</v>
      </c>
      <c r="D1040" t="s">
        <v>108</v>
      </c>
      <c r="E1040" s="9">
        <v>13.440498</v>
      </c>
      <c r="F1040" s="10">
        <v>442546</v>
      </c>
      <c r="G1040" s="11">
        <v>32.93</v>
      </c>
    </row>
    <row r="1041" spans="1:7">
      <c r="A1041" s="8" t="s">
        <v>16</v>
      </c>
      <c r="B1041">
        <v>200899</v>
      </c>
      <c r="C1041" t="s">
        <v>133</v>
      </c>
      <c r="D1041" t="s">
        <v>158</v>
      </c>
      <c r="E1041" s="9">
        <v>6.4165200000000002</v>
      </c>
      <c r="F1041" s="10">
        <v>121078</v>
      </c>
      <c r="G1041" s="11">
        <v>18.87</v>
      </c>
    </row>
    <row r="1042" spans="1:7">
      <c r="A1042" s="8" t="s">
        <v>16</v>
      </c>
      <c r="B1042">
        <v>200899</v>
      </c>
      <c r="C1042" t="s">
        <v>133</v>
      </c>
      <c r="D1042" t="s">
        <v>109</v>
      </c>
      <c r="E1042" s="9">
        <v>765.05761199999995</v>
      </c>
      <c r="F1042" s="10">
        <v>17741657</v>
      </c>
      <c r="G1042" s="11">
        <v>23.19</v>
      </c>
    </row>
    <row r="1043" spans="1:7">
      <c r="A1043" s="8" t="s">
        <v>16</v>
      </c>
      <c r="B1043">
        <v>200899</v>
      </c>
      <c r="C1043" t="s">
        <v>133</v>
      </c>
      <c r="D1043" t="s">
        <v>110</v>
      </c>
      <c r="E1043" s="9">
        <v>23.848852000000001</v>
      </c>
      <c r="F1043" s="10">
        <v>752961</v>
      </c>
      <c r="G1043" s="11">
        <v>31.57</v>
      </c>
    </row>
    <row r="1044" spans="1:7">
      <c r="A1044" s="8" t="s">
        <v>16</v>
      </c>
      <c r="B1044">
        <v>200899</v>
      </c>
      <c r="C1044" t="s">
        <v>133</v>
      </c>
      <c r="D1044" t="s">
        <v>112</v>
      </c>
      <c r="E1044" s="9">
        <v>4.6360000000000001</v>
      </c>
      <c r="F1044" s="10">
        <v>127610</v>
      </c>
      <c r="G1044" s="11">
        <v>27.53</v>
      </c>
    </row>
    <row r="1045" spans="1:7">
      <c r="A1045" s="8" t="s">
        <v>16</v>
      </c>
      <c r="B1045">
        <v>200899</v>
      </c>
      <c r="C1045" t="s">
        <v>133</v>
      </c>
      <c r="D1045" t="s">
        <v>113</v>
      </c>
      <c r="E1045" s="9">
        <v>17.03172</v>
      </c>
      <c r="F1045" s="10">
        <v>568938</v>
      </c>
      <c r="G1045" s="11">
        <v>33.4</v>
      </c>
    </row>
    <row r="1046" spans="1:7">
      <c r="A1046" s="8" t="s">
        <v>16</v>
      </c>
      <c r="B1046">
        <v>200899</v>
      </c>
      <c r="C1046" t="s">
        <v>133</v>
      </c>
      <c r="D1046" t="s">
        <v>114</v>
      </c>
      <c r="E1046" s="9">
        <v>260.8263</v>
      </c>
      <c r="F1046" s="10">
        <v>5437151</v>
      </c>
      <c r="G1046" s="11">
        <v>20.85</v>
      </c>
    </row>
    <row r="1047" spans="1:7">
      <c r="A1047" s="8" t="s">
        <v>16</v>
      </c>
      <c r="B1047">
        <v>200899</v>
      </c>
      <c r="C1047" t="s">
        <v>133</v>
      </c>
      <c r="D1047" t="s">
        <v>115</v>
      </c>
      <c r="E1047" s="9">
        <v>3.5999999999999997E-2</v>
      </c>
      <c r="F1047" s="10">
        <v>960</v>
      </c>
      <c r="G1047" s="11">
        <v>26.67</v>
      </c>
    </row>
    <row r="1048" spans="1:7">
      <c r="A1048" s="8" t="s">
        <v>16</v>
      </c>
      <c r="B1048">
        <v>200899</v>
      </c>
      <c r="C1048" t="s">
        <v>133</v>
      </c>
      <c r="D1048" t="s">
        <v>116</v>
      </c>
      <c r="E1048" s="9">
        <v>1604.082897</v>
      </c>
      <c r="F1048" s="10">
        <v>31722365</v>
      </c>
      <c r="G1048" s="11">
        <v>19.78</v>
      </c>
    </row>
    <row r="1049" spans="1:7">
      <c r="A1049" s="8" t="s">
        <v>16</v>
      </c>
      <c r="B1049">
        <v>200899</v>
      </c>
      <c r="C1049" t="s">
        <v>133</v>
      </c>
      <c r="D1049" t="s">
        <v>117</v>
      </c>
      <c r="E1049" s="9">
        <v>0.14000000000000001</v>
      </c>
      <c r="F1049" s="10">
        <v>4958</v>
      </c>
      <c r="G1049" s="11">
        <v>35.409999999999997</v>
      </c>
    </row>
    <row r="1050" spans="1:7">
      <c r="A1050" s="8" t="s">
        <v>16</v>
      </c>
      <c r="B1050">
        <v>200899</v>
      </c>
      <c r="C1050" t="s">
        <v>133</v>
      </c>
      <c r="D1050" t="s">
        <v>118</v>
      </c>
      <c r="E1050" s="9">
        <v>10.871406</v>
      </c>
      <c r="F1050" s="10">
        <v>339257</v>
      </c>
      <c r="G1050" s="11">
        <v>31.21</v>
      </c>
    </row>
    <row r="1051" spans="1:7">
      <c r="A1051" s="8" t="s">
        <v>16</v>
      </c>
      <c r="B1051">
        <v>200899</v>
      </c>
      <c r="C1051" t="s">
        <v>133</v>
      </c>
      <c r="D1051" t="s">
        <v>119</v>
      </c>
      <c r="E1051" s="9">
        <v>106.33252</v>
      </c>
      <c r="F1051" s="10">
        <v>3049170</v>
      </c>
      <c r="G1051" s="11">
        <v>28.68</v>
      </c>
    </row>
    <row r="1052" spans="1:7">
      <c r="A1052" s="8" t="s">
        <v>16</v>
      </c>
      <c r="B1052">
        <v>200899</v>
      </c>
      <c r="C1052" t="s">
        <v>133</v>
      </c>
      <c r="D1052" t="s">
        <v>159</v>
      </c>
      <c r="E1052" s="9">
        <v>0.53600000000000003</v>
      </c>
      <c r="F1052" s="10">
        <v>1979</v>
      </c>
      <c r="G1052" s="11">
        <v>3.69</v>
      </c>
    </row>
    <row r="1053" spans="1:7">
      <c r="A1053" s="8" t="s">
        <v>16</v>
      </c>
      <c r="B1053">
        <v>200899</v>
      </c>
      <c r="C1053" t="s">
        <v>133</v>
      </c>
      <c r="D1053" t="s">
        <v>120</v>
      </c>
      <c r="E1053" s="9">
        <v>146.98899299999999</v>
      </c>
      <c r="F1053" s="10">
        <v>1858607</v>
      </c>
      <c r="G1053" s="11">
        <v>12.64</v>
      </c>
    </row>
    <row r="1054" spans="1:7">
      <c r="A1054" s="8" t="s">
        <v>16</v>
      </c>
      <c r="B1054">
        <v>200899</v>
      </c>
      <c r="C1054" t="s">
        <v>133</v>
      </c>
      <c r="D1054" t="s">
        <v>121</v>
      </c>
      <c r="E1054" s="9">
        <v>19.227734999999999</v>
      </c>
      <c r="F1054" s="10">
        <v>742245</v>
      </c>
      <c r="G1054" s="11">
        <v>38.6</v>
      </c>
    </row>
    <row r="1055" spans="1:7">
      <c r="A1055" s="8" t="s">
        <v>16</v>
      </c>
      <c r="B1055">
        <v>200899</v>
      </c>
      <c r="C1055" t="s">
        <v>133</v>
      </c>
      <c r="D1055" t="s">
        <v>122</v>
      </c>
      <c r="E1055" s="9">
        <v>225.736762</v>
      </c>
      <c r="F1055" s="10">
        <v>6034256</v>
      </c>
      <c r="G1055" s="11">
        <v>26.73</v>
      </c>
    </row>
    <row r="1056" spans="1:7">
      <c r="A1056" s="8" t="s">
        <v>16</v>
      </c>
      <c r="B1056">
        <v>200899</v>
      </c>
      <c r="C1056" t="s">
        <v>133</v>
      </c>
      <c r="D1056" t="s">
        <v>177</v>
      </c>
      <c r="E1056" s="9">
        <v>0.18490000000000001</v>
      </c>
      <c r="F1056" s="10">
        <v>4975</v>
      </c>
      <c r="G1056" s="11">
        <v>26.91</v>
      </c>
    </row>
    <row r="1057" spans="1:7">
      <c r="A1057" s="8" t="s">
        <v>16</v>
      </c>
      <c r="B1057">
        <v>200899</v>
      </c>
      <c r="C1057" t="s">
        <v>133</v>
      </c>
      <c r="D1057" t="s">
        <v>124</v>
      </c>
      <c r="E1057" s="9">
        <v>69.587789000000001</v>
      </c>
      <c r="F1057" s="10">
        <v>2906548</v>
      </c>
      <c r="G1057" s="11">
        <v>41.77</v>
      </c>
    </row>
    <row r="1058" spans="1:7">
      <c r="A1058" s="8" t="s">
        <v>16</v>
      </c>
      <c r="B1058">
        <v>200899</v>
      </c>
      <c r="C1058" t="s">
        <v>133</v>
      </c>
      <c r="D1058" t="s">
        <v>125</v>
      </c>
      <c r="E1058" s="9">
        <v>2.6833</v>
      </c>
      <c r="F1058" s="10">
        <v>89681</v>
      </c>
      <c r="G1058" s="11">
        <v>33.42</v>
      </c>
    </row>
    <row r="1059" spans="1:7">
      <c r="A1059" s="8" t="s">
        <v>16</v>
      </c>
      <c r="B1059">
        <v>200899</v>
      </c>
      <c r="C1059" t="s">
        <v>133</v>
      </c>
      <c r="D1059" t="s">
        <v>126</v>
      </c>
      <c r="E1059" s="9">
        <v>7.1212999999999997</v>
      </c>
      <c r="F1059" s="10">
        <v>298319</v>
      </c>
      <c r="G1059" s="11">
        <v>41.89</v>
      </c>
    </row>
    <row r="1060" spans="1:7">
      <c r="A1060" s="8" t="s">
        <v>16</v>
      </c>
      <c r="B1060">
        <v>200899</v>
      </c>
      <c r="C1060" t="s">
        <v>133</v>
      </c>
      <c r="D1060" t="s">
        <v>160</v>
      </c>
      <c r="E1060" s="9">
        <v>1.24E-3</v>
      </c>
      <c r="F1060" s="10">
        <v>98</v>
      </c>
      <c r="G1060" s="11">
        <v>79.03</v>
      </c>
    </row>
    <row r="1061" spans="1:7">
      <c r="A1061" s="8" t="s">
        <v>16</v>
      </c>
      <c r="B1061">
        <v>200899</v>
      </c>
      <c r="C1061" t="s">
        <v>133</v>
      </c>
      <c r="D1061" t="s">
        <v>127</v>
      </c>
      <c r="E1061" s="9">
        <v>169.68621200000001</v>
      </c>
      <c r="F1061" s="10">
        <v>5906153</v>
      </c>
      <c r="G1061" s="11">
        <v>34.81</v>
      </c>
    </row>
    <row r="1062" spans="1:7">
      <c r="A1062" s="8" t="s">
        <v>16</v>
      </c>
      <c r="B1062">
        <v>200899</v>
      </c>
      <c r="C1062" t="s">
        <v>133</v>
      </c>
      <c r="D1062" t="s">
        <v>161</v>
      </c>
      <c r="E1062" s="9">
        <v>0.2843</v>
      </c>
      <c r="F1062" s="10">
        <v>12758</v>
      </c>
      <c r="G1062" s="11">
        <v>44.88</v>
      </c>
    </row>
    <row r="1063" spans="1:7">
      <c r="A1063" s="8" t="s">
        <v>16</v>
      </c>
      <c r="B1063">
        <v>200899</v>
      </c>
      <c r="C1063" t="s">
        <v>133</v>
      </c>
      <c r="D1063" t="s">
        <v>128</v>
      </c>
      <c r="E1063" s="9">
        <v>0.36603000000000002</v>
      </c>
      <c r="F1063" s="10">
        <v>16265</v>
      </c>
      <c r="G1063" s="11">
        <v>44.44</v>
      </c>
    </row>
    <row r="1064" spans="1:7">
      <c r="A1064" s="8" t="s">
        <v>16</v>
      </c>
      <c r="B1064">
        <v>200899</v>
      </c>
      <c r="C1064" t="s">
        <v>133</v>
      </c>
      <c r="D1064" t="s">
        <v>129</v>
      </c>
      <c r="E1064" s="9">
        <v>687.59165299999995</v>
      </c>
      <c r="F1064" s="10">
        <v>17203379</v>
      </c>
      <c r="G1064" s="11">
        <v>25.02</v>
      </c>
    </row>
    <row r="1065" spans="1:7">
      <c r="A1065" s="8" t="s">
        <v>16</v>
      </c>
      <c r="B1065">
        <v>200899</v>
      </c>
      <c r="C1065" t="s">
        <v>133</v>
      </c>
      <c r="D1065" t="s">
        <v>178</v>
      </c>
      <c r="E1065" s="9">
        <v>5.5E-2</v>
      </c>
      <c r="F1065" s="10">
        <v>600</v>
      </c>
      <c r="G1065" s="11">
        <v>10.91</v>
      </c>
    </row>
    <row r="1066" spans="1:7">
      <c r="A1066" s="8" t="s">
        <v>16</v>
      </c>
      <c r="B1066">
        <v>200899</v>
      </c>
      <c r="C1066" t="s">
        <v>133</v>
      </c>
      <c r="D1066" t="s">
        <v>130</v>
      </c>
      <c r="E1066" s="9">
        <v>8829.7744320000002</v>
      </c>
      <c r="F1066" s="10">
        <v>250559932</v>
      </c>
      <c r="G1066" s="11">
        <v>28.38</v>
      </c>
    </row>
    <row r="1067" spans="1:7">
      <c r="A1067" s="8" t="s">
        <v>16</v>
      </c>
      <c r="B1067">
        <v>200899</v>
      </c>
      <c r="C1067" t="s">
        <v>133</v>
      </c>
      <c r="D1067" t="s">
        <v>162</v>
      </c>
      <c r="E1067" s="9">
        <v>3.6156000000000001</v>
      </c>
      <c r="F1067" s="10">
        <v>4082</v>
      </c>
      <c r="G1067" s="11">
        <v>1.1299999999999999</v>
      </c>
    </row>
    <row r="1068" spans="1:7">
      <c r="A1068" s="8" t="s">
        <v>16</v>
      </c>
      <c r="B1068">
        <v>200899</v>
      </c>
      <c r="C1068" t="s">
        <v>133</v>
      </c>
      <c r="D1068" t="s">
        <v>131</v>
      </c>
      <c r="E1068" s="9">
        <v>30.231280000000002</v>
      </c>
      <c r="F1068" s="10">
        <v>1094677</v>
      </c>
      <c r="G1068" s="11">
        <v>36.21</v>
      </c>
    </row>
    <row r="1069" spans="1:7">
      <c r="A1069" s="8" t="s">
        <v>16</v>
      </c>
      <c r="B1069">
        <v>200899</v>
      </c>
      <c r="C1069" t="s">
        <v>133</v>
      </c>
      <c r="D1069" t="s">
        <v>132</v>
      </c>
      <c r="E1069" s="9">
        <v>1.876474</v>
      </c>
      <c r="F1069" s="10">
        <v>84523</v>
      </c>
      <c r="G1069" s="11">
        <v>45.04</v>
      </c>
    </row>
    <row r="1070" spans="1:7">
      <c r="A1070" s="8" t="s">
        <v>16</v>
      </c>
      <c r="B1070">
        <v>200899</v>
      </c>
      <c r="C1070" t="s">
        <v>133</v>
      </c>
      <c r="D1070" t="s">
        <v>192</v>
      </c>
      <c r="E1070" s="9">
        <v>8.3999999999999995E-3</v>
      </c>
      <c r="F1070" s="10">
        <v>265</v>
      </c>
      <c r="G1070" s="11">
        <v>31.55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Executive Dashboard</vt:lpstr>
      <vt:lpstr>Target Markets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Duhui Lee</cp:lastModifiedBy>
  <dcterms:created xsi:type="dcterms:W3CDTF">2026-07-24T00:05:25Z</dcterms:created>
  <dcterms:modified xsi:type="dcterms:W3CDTF">2026-07-24T00:06:34Z</dcterms:modified>
</cp:coreProperties>
</file>