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" sheetId="1" state="visible" r:id="rId1"/>
    <sheet xmlns:r="http://schemas.openxmlformats.org/officeDocument/2006/relationships" name="Export_Pricing" sheetId="2" state="visible" r:id="rId2"/>
    <sheet xmlns:r="http://schemas.openxmlformats.org/officeDocument/2006/relationships" name="Product_Star_Strategy" sheetId="3" state="visible" r:id="rId3"/>
    <sheet xmlns:r="http://schemas.openxmlformats.org/officeDocument/2006/relationships" name="Product_Top_Buyers_DB" sheetId="4" state="visible" r:id="rId4"/>
    <sheet xmlns:r="http://schemas.openxmlformats.org/officeDocument/2006/relationships" name="Business_Playb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C8F"/>
        <bgColor rgb="002B5C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5" customWidth="1" min="4" max="4"/>
    <col width="22" customWidth="1" min="5" max="5"/>
  </cols>
  <sheetData>
    <row r="1">
      <c r="A1" s="1" t="inlineStr">
        <is>
          <t>완도 전복 글로벌 무역 EDA 및 시장 개척 KPI 총괄</t>
        </is>
      </c>
    </row>
    <row r="2"/>
    <row r="3">
      <c r="A3" s="2" t="inlineStr">
        <is>
          <t>지표 항목 (KPI)</t>
        </is>
      </c>
      <c r="B3" s="2" t="inlineStr">
        <is>
          <t>수치 (Value)</t>
        </is>
      </c>
      <c r="C3" s="2" t="inlineStr">
        <is>
          <t>단위 (Unit)</t>
        </is>
      </c>
      <c r="D3" s="2" t="inlineStr">
        <is>
          <t>비고 (Notes)</t>
        </is>
      </c>
      <c r="E3" s="2" t="inlineStr">
        <is>
          <t>데이터 출처</t>
        </is>
      </c>
    </row>
    <row r="4">
      <c r="A4" s="3" t="inlineStr">
        <is>
          <t>전체 분석 데이터 수</t>
        </is>
      </c>
      <c r="B4" s="4" t="n">
        <v>5400</v>
      </c>
      <c r="C4" s="5" t="inlineStr">
        <is>
          <t>건</t>
        </is>
      </c>
      <c r="D4" s="3" t="inlineStr">
        <is>
          <t>UN Comtrade 글로벌 수산 데이터</t>
        </is>
      </c>
      <c r="E4" s="5" t="inlineStr">
        <is>
          <t>BIZ-JB-Gathered.csv</t>
        </is>
      </c>
    </row>
    <row r="5">
      <c r="A5" s="3" t="inlineStr">
        <is>
          <t>총 무역 거래 금액</t>
        </is>
      </c>
      <c r="B5" s="4" t="n">
        <v>5209010000</v>
      </c>
      <c r="C5" s="5" t="inlineStr">
        <is>
          <t>USD</t>
        </is>
      </c>
      <c r="D5" s="3" t="inlineStr">
        <is>
          <t>2021~2025년 누적 무역액</t>
        </is>
      </c>
      <c r="E5" s="5" t="inlineStr">
        <is>
          <t>UN Comtrade</t>
        </is>
      </c>
    </row>
    <row r="6">
      <c r="A6" s="3" t="inlineStr">
        <is>
          <t>총 무역 물동량</t>
        </is>
      </c>
      <c r="B6" s="4" t="n">
        <v>271250000</v>
      </c>
      <c r="C6" s="5" t="inlineStr">
        <is>
          <t>kg</t>
        </is>
      </c>
      <c r="D6" s="3" t="inlineStr">
        <is>
          <t>2021~2025년 누적 순중량</t>
        </is>
      </c>
      <c r="E6" s="5" t="inlineStr">
        <is>
          <t>UN Comtrade</t>
        </is>
      </c>
    </row>
    <row r="7">
      <c r="A7" s="3" t="inlineStr">
        <is>
          <t>수입(Import) 거래 비중</t>
        </is>
      </c>
      <c r="B7" s="6" t="n">
        <v>0.9409999999999999</v>
      </c>
      <c r="C7" s="5" t="inlineStr">
        <is>
          <t>%</t>
        </is>
      </c>
      <c r="D7" s="3" t="inlineStr">
        <is>
          <t>수입 신고 데이터 중심</t>
        </is>
      </c>
      <c r="E7" s="5" t="inlineStr">
        <is>
          <t>UN Comtrade</t>
        </is>
      </c>
    </row>
    <row r="8">
      <c r="A8" s="3" t="inlineStr">
        <is>
          <t>전복 평균 단가</t>
        </is>
      </c>
      <c r="B8" s="6" t="n">
        <v>33.03</v>
      </c>
      <c r="C8" s="5" t="inlineStr">
        <is>
          <t>$/kg</t>
        </is>
      </c>
      <c r="D8" s="3" t="inlineStr">
        <is>
          <t>가공품 및 생물 전체 평균</t>
        </is>
      </c>
      <c r="E8" s="5" t="inlineStr">
        <is>
          <t>EDA Result</t>
        </is>
      </c>
    </row>
    <row r="9">
      <c r="A9" s="3" t="inlineStr">
        <is>
          <t>전복 단가 중앙값</t>
        </is>
      </c>
      <c r="B9" s="6" t="n">
        <v>16.02</v>
      </c>
      <c r="C9" s="5" t="inlineStr">
        <is>
          <t>$/kg</t>
        </is>
      </c>
      <c r="D9" s="3" t="inlineStr">
        <is>
          <t>중간 등급 일반 유통 단가</t>
        </is>
      </c>
      <c r="E9" s="5" t="inlineStr">
        <is>
          <t>EDA Result</t>
        </is>
      </c>
    </row>
    <row r="10">
      <c r="A10" s="3" t="inlineStr">
        <is>
          <t>최고 수출 단가</t>
        </is>
      </c>
      <c r="B10" s="6" t="n">
        <v>2284</v>
      </c>
      <c r="C10" s="5" t="inlineStr">
        <is>
          <t>$/kg</t>
        </is>
      </c>
      <c r="D10" s="3" t="inlineStr">
        <is>
          <t>초고가 건전복 최고 등급</t>
        </is>
      </c>
      <c r="E10" s="5" t="inlineStr">
        <is>
          <t>EDA Result</t>
        </is>
      </c>
    </row>
    <row r="11">
      <c r="A11" s="3" t="inlineStr">
        <is>
          <t>대한민국 수출 실적</t>
        </is>
      </c>
      <c r="B11" s="4" t="n">
        <v>581395000</v>
      </c>
      <c r="C11" s="5" t="inlineStr">
        <is>
          <t>USD</t>
        </is>
      </c>
      <c r="D11" s="3" t="inlineStr">
        <is>
          <t>전 세계 유일의 대규모 순수출국</t>
        </is>
      </c>
      <c r="E11" s="5" t="inlineStr">
        <is>
          <t>UN Comtrade</t>
        </is>
      </c>
    </row>
    <row r="12">
      <c r="A12" s="3" t="inlineStr">
        <is>
          <t>홍콩 수입 시장 규모</t>
        </is>
      </c>
      <c r="B12" s="4" t="n">
        <v>1283200000</v>
      </c>
      <c r="C12" s="5" t="inlineStr">
        <is>
          <t>USD</t>
        </is>
      </c>
      <c r="D12" s="3" t="inlineStr">
        <is>
          <t>단일 세계 최대 전복 수입 시장</t>
        </is>
      </c>
      <c r="E12" s="5" t="inlineStr">
        <is>
          <t>UN Comtrade</t>
        </is>
      </c>
    </row>
    <row r="13">
      <c r="A13" s="3" t="inlineStr">
        <is>
          <t>1인 상사 1년차 목표 매출</t>
        </is>
      </c>
      <c r="B13" s="4" t="n">
        <v>300000</v>
      </c>
      <c r="C13" s="5" t="inlineStr">
        <is>
          <t>USD</t>
        </is>
      </c>
      <c r="D13" s="3" t="inlineStr">
        <is>
          <t>약 4억 원 달성 목표</t>
        </is>
      </c>
      <c r="E13" s="5" t="inlineStr">
        <is>
          <t>Implementation Plan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31" customWidth="1" min="3" max="3"/>
    <col width="15" customWidth="1" min="4" max="4"/>
    <col width="13" customWidth="1" min="5" max="5"/>
    <col width="28" customWidth="1" min="6" max="6"/>
    <col width="23" customWidth="1" min="7" max="7"/>
    <col width="21" customWidth="1" min="8" max="8"/>
    <col width="12" customWidth="1" min="9" max="9"/>
  </cols>
  <sheetData>
    <row r="1">
      <c r="A1" s="1" t="inlineStr">
        <is>
          <t>완도 전복 국가별/품목별 FOB &amp; CIF 수출 가격 계산 모델</t>
        </is>
      </c>
    </row>
    <row r="2"/>
    <row r="3">
      <c r="A3" s="2" t="inlineStr">
        <is>
          <t>No</t>
        </is>
      </c>
      <c r="B3" s="2" t="inlineStr">
        <is>
          <t>타겟 국가</t>
        </is>
      </c>
      <c r="C3" s="2" t="inlineStr">
        <is>
          <t>타겟 품목 및 규격 (HS Code)</t>
        </is>
      </c>
      <c r="D3" s="2" t="inlineStr">
        <is>
          <t>EXW 산지원가 ($)</t>
        </is>
      </c>
      <c r="E3" s="2" t="inlineStr">
        <is>
          <t>물류/포장비 ($)</t>
        </is>
      </c>
      <c r="F3" s="2" t="inlineStr">
        <is>
          <t>FOB 가격 ($)</t>
        </is>
      </c>
      <c r="G3" s="2" t="inlineStr">
        <is>
          <t>CIF 가격 ($)</t>
        </is>
      </c>
      <c r="H3" s="2" t="inlineStr">
        <is>
          <t>마진율 (%)</t>
        </is>
      </c>
      <c r="I3" s="2" t="inlineStr">
        <is>
          <t>비고</t>
        </is>
      </c>
    </row>
    <row r="4">
      <c r="A4" t="n">
        <v>1</v>
      </c>
      <c r="B4" t="inlineStr">
        <is>
          <t>홍콩</t>
        </is>
      </c>
      <c r="C4" t="inlineStr">
        <is>
          <t>활전복 (7~8미/kg, HS 030781)</t>
        </is>
      </c>
      <c r="D4" s="7" t="n">
        <v>19</v>
      </c>
      <c r="E4" s="7" t="n">
        <v>3.5</v>
      </c>
      <c r="F4" s="7">
        <f>ROUND(D4*1.23 + E4, 2)</f>
        <v/>
      </c>
      <c r="G4" s="7">
        <f>ROUND(F4 + G4, 2)</f>
        <v/>
      </c>
      <c r="H4" s="8">
        <f>(F4-D4-E4)/F4</f>
        <v/>
      </c>
      <c r="I4" t="inlineStr">
        <is>
          <t>추천 가격 적용</t>
        </is>
      </c>
    </row>
    <row r="5">
      <c r="A5" t="n">
        <v>2</v>
      </c>
      <c r="B5" t="inlineStr">
        <is>
          <t>홍콩</t>
        </is>
      </c>
      <c r="C5" t="inlineStr">
        <is>
          <t>명품 건전복 (25미/500g, HS 030782)</t>
        </is>
      </c>
      <c r="D5" s="7" t="n">
        <v>100</v>
      </c>
      <c r="E5" s="7" t="n">
        <v>8</v>
      </c>
      <c r="F5" s="7">
        <f>ROUND(D5*1.23 + E5, 2)</f>
        <v/>
      </c>
      <c r="G5" s="7">
        <f>ROUND(F5 + G5, 2)</f>
        <v/>
      </c>
      <c r="H5" s="8">
        <f>(F5-D5-E5)/F5</f>
        <v/>
      </c>
      <c r="I5" t="inlineStr">
        <is>
          <t>추천 가격 적용</t>
        </is>
      </c>
    </row>
    <row r="6">
      <c r="A6" t="n">
        <v>3</v>
      </c>
      <c r="B6" t="inlineStr">
        <is>
          <t>싱가포르</t>
        </is>
      </c>
      <c r="C6" t="inlineStr">
        <is>
          <t>활전복 (10~12미/kg, HS 030781)</t>
        </is>
      </c>
      <c r="D6" s="7" t="n">
        <v>17.5</v>
      </c>
      <c r="E6" s="7" t="n">
        <v>3</v>
      </c>
      <c r="F6" s="7">
        <f>ROUND(D6*1.23 + E6, 2)</f>
        <v/>
      </c>
      <c r="G6" s="7">
        <f>ROUND(F6 + G6, 2)</f>
        <v/>
      </c>
      <c r="H6" s="8">
        <f>(F6-D6-E6)/F6</f>
        <v/>
      </c>
      <c r="I6" t="inlineStr">
        <is>
          <t>추천 가격 적용</t>
        </is>
      </c>
    </row>
    <row r="7">
      <c r="A7" t="n">
        <v>4</v>
      </c>
      <c r="B7" t="inlineStr">
        <is>
          <t>미국</t>
        </is>
      </c>
      <c r="C7" t="inlineStr">
        <is>
          <t>전복 통조림 (4미/400g, HS 160557)</t>
        </is>
      </c>
      <c r="D7" s="7" t="n">
        <v>9.5</v>
      </c>
      <c r="E7" s="7" t="n">
        <v>1.2</v>
      </c>
      <c r="F7" s="7">
        <f>ROUND(D7*1.23 + E7, 2)</f>
        <v/>
      </c>
      <c r="G7" s="7">
        <f>ROUND(F7 + G7, 2)</f>
        <v/>
      </c>
      <c r="H7" s="8">
        <f>(F7-D7-E7)/F7</f>
        <v/>
      </c>
      <c r="I7" t="inlineStr">
        <is>
          <t>추천 가격 적용</t>
        </is>
      </c>
    </row>
    <row r="8">
      <c r="A8" t="n">
        <v>5</v>
      </c>
      <c r="B8" t="inlineStr">
        <is>
          <t>미국</t>
        </is>
      </c>
      <c r="C8" t="inlineStr">
        <is>
          <t>자숙 냉동전복 파우치 (1kg, HS 160557)</t>
        </is>
      </c>
      <c r="D8" s="7" t="n">
        <v>17</v>
      </c>
      <c r="E8" s="7" t="n">
        <v>2.5</v>
      </c>
      <c r="F8" s="7">
        <f>ROUND(D8*1.23 + E8, 2)</f>
        <v/>
      </c>
      <c r="G8" s="7">
        <f>ROUND(F8 + G8, 2)</f>
        <v/>
      </c>
      <c r="H8" s="8">
        <f>(F8-D8-E8)/F8</f>
        <v/>
      </c>
      <c r="I8" t="inlineStr">
        <is>
          <t>추천 가격 적용</t>
        </is>
      </c>
    </row>
    <row r="9">
      <c r="A9" t="n">
        <v>6</v>
      </c>
      <c r="B9" t="inlineStr">
        <is>
          <t>캐나다</t>
        </is>
      </c>
      <c r="C9" t="inlineStr">
        <is>
          <t>전복 통조림 (굴소스 400g, HS 160557)</t>
        </is>
      </c>
      <c r="D9" s="7" t="n">
        <v>9.5</v>
      </c>
      <c r="E9" s="7" t="n">
        <v>1.2</v>
      </c>
      <c r="F9" s="7">
        <f>ROUND(D9*1.23 + E9, 2)</f>
        <v/>
      </c>
      <c r="G9" s="7">
        <f>ROUND(F9 + G9, 2)</f>
        <v/>
      </c>
      <c r="H9" s="8">
        <f>(F9-D9-E9)/F9</f>
        <v/>
      </c>
      <c r="I9" t="inlineStr">
        <is>
          <t>추천 가격 적용</t>
        </is>
      </c>
    </row>
    <row r="10">
      <c r="A10" t="n">
        <v>7</v>
      </c>
      <c r="B10" t="inlineStr">
        <is>
          <t>일본</t>
        </is>
      </c>
      <c r="C10" t="inlineStr">
        <is>
          <t>횟감용 자숙전복 (10미/kg, HS 030783)</t>
        </is>
      </c>
      <c r="D10" s="7" t="n">
        <v>18.5</v>
      </c>
      <c r="E10" s="7" t="n">
        <v>2.8</v>
      </c>
      <c r="F10" s="7">
        <f>ROUND(D10*1.23 + E10, 2)</f>
        <v/>
      </c>
      <c r="G10" s="7">
        <f>ROUND(F10 + G10, 2)</f>
        <v/>
      </c>
      <c r="H10" s="8">
        <f>(F10-D10-E10)/F10</f>
        <v/>
      </c>
      <c r="I10" t="inlineStr">
        <is>
          <t>추천 가격 적용</t>
        </is>
      </c>
    </row>
    <row r="11">
      <c r="A11" t="n">
        <v>8</v>
      </c>
      <c r="B11" t="inlineStr">
        <is>
          <t>베트남</t>
        </is>
      </c>
      <c r="C11" t="inlineStr">
        <is>
          <t>활전복 (10~12미/kg, HS 030781)</t>
        </is>
      </c>
      <c r="D11" s="7" t="n">
        <v>17.5</v>
      </c>
      <c r="E11" s="7" t="n">
        <v>2.5</v>
      </c>
      <c r="F11" s="7">
        <f>ROUND(D11*1.23 + E11, 2)</f>
        <v/>
      </c>
      <c r="G11" s="7">
        <f>ROUND(F11 + G11, 2)</f>
        <v/>
      </c>
      <c r="H11" s="8">
        <f>(F11-D11-E11)/F11</f>
        <v/>
      </c>
      <c r="I11" t="inlineStr">
        <is>
          <t>추천 가격 적용</t>
        </is>
      </c>
    </row>
    <row r="12">
      <c r="A12" t="n">
        <v>9</v>
      </c>
      <c r="B12" t="inlineStr">
        <is>
          <t>호주</t>
        </is>
      </c>
      <c r="C12" t="inlineStr">
        <is>
          <t>전복 통조림 (4미/400g, HS 160557)</t>
        </is>
      </c>
      <c r="D12" s="7" t="n">
        <v>10</v>
      </c>
      <c r="E12" s="7" t="n">
        <v>1.3</v>
      </c>
      <c r="F12" s="7">
        <f>ROUND(D12*1.23 + E12, 2)</f>
        <v/>
      </c>
      <c r="G12" s="7">
        <f>ROUND(F12 + G12, 2)</f>
        <v/>
      </c>
      <c r="H12" s="8">
        <f>(F12-D12-E12)/F12</f>
        <v/>
      </c>
      <c r="I12" t="inlineStr">
        <is>
          <t>추천 가격 적용</t>
        </is>
      </c>
    </row>
    <row r="13">
      <c r="A13" t="n">
        <v>10</v>
      </c>
      <c r="B13" t="inlineStr">
        <is>
          <t>프랑스</t>
        </is>
      </c>
      <c r="C13" t="inlineStr">
        <is>
          <t>전복 내장 소스 (200g, HS 210390)</t>
        </is>
      </c>
      <c r="D13" s="7" t="n">
        <v>16</v>
      </c>
      <c r="E13" s="7" t="n">
        <v>2.2</v>
      </c>
      <c r="F13" s="7">
        <f>ROUND(D13*1.23 + E13, 2)</f>
        <v/>
      </c>
      <c r="G13" s="7">
        <f>ROUND(F13 + G13, 2)</f>
        <v/>
      </c>
      <c r="H13" s="8">
        <f>(F13-D13-E13)/F13</f>
        <v/>
      </c>
      <c r="I13" t="inlineStr">
        <is>
          <t>추천 가격 적용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3" customWidth="1" min="3" max="3"/>
    <col width="23" customWidth="1" min="4" max="4"/>
    <col width="28" customWidth="1" min="5" max="5"/>
    <col width="22" customWidth="1" min="6" max="6"/>
  </cols>
  <sheetData>
    <row r="1">
      <c r="A1" s="1" t="inlineStr">
        <is>
          <t>품목별 Star &amp; Rising Star 타겟 시장 및 정밀 HS CODE</t>
        </is>
      </c>
    </row>
    <row r="2"/>
    <row r="3">
      <c r="A3" s="2" t="inlineStr">
        <is>
          <t>품목 분류 (정확한 HS Code)</t>
        </is>
      </c>
      <c r="B3" s="2" t="inlineStr">
        <is>
          <t>Star 시장 (주력)</t>
        </is>
      </c>
      <c r="C3" s="2" t="inlineStr">
        <is>
          <t>Rising Star 시장 (신흥)</t>
        </is>
      </c>
      <c r="D3" s="2" t="inlineStr">
        <is>
          <t>Cash Cow / Selective</t>
        </is>
      </c>
      <c r="E3" s="2" t="inlineStr">
        <is>
          <t>핵심 물류/포장 방식</t>
        </is>
      </c>
      <c r="F3" s="2" t="inlineStr">
        <is>
          <t>추천 CIF 단가 ($)</t>
        </is>
      </c>
    </row>
    <row r="4">
      <c r="A4" t="inlineStr">
        <is>
          <t>1. 활전복 (Live, HS 030781)</t>
        </is>
      </c>
      <c r="B4" t="inlineStr">
        <is>
          <t>홍콩, 싱가포르, 마카오</t>
        </is>
      </c>
      <c r="C4" t="inlineStr">
        <is>
          <t>베트남 (호치민/하노이), 대만</t>
        </is>
      </c>
      <c r="D4" t="inlineStr">
        <is>
          <t>일본 (Sub-Star)</t>
        </is>
      </c>
      <c r="E4" t="inlineStr">
        <is>
          <t>항공 (Air) 산소 주입 해수 팩</t>
        </is>
      </c>
      <c r="F4" t="inlineStr">
        <is>
          <t>$31.00~$45.00 / kg</t>
        </is>
      </c>
    </row>
    <row r="5">
      <c r="A5" t="inlineStr">
        <is>
          <t>2. 명품 건전복 (Dried, HS 030782)</t>
        </is>
      </c>
      <c r="B5" t="inlineStr">
        <is>
          <t>홍콩, 마카오, 광동성</t>
        </is>
      </c>
      <c r="C5" t="inlineStr">
        <is>
          <t>말레이시아 (KL), 미국 (중화권)</t>
        </is>
      </c>
      <c r="D5" t="inlineStr">
        <is>
          <t>싱가포르 (Cash Cow)</t>
        </is>
      </c>
      <c r="E5" t="inlineStr">
        <is>
          <t>항공/해상 하드케이스 선물세트</t>
        </is>
      </c>
      <c r="F5" t="inlineStr">
        <is>
          <t>$142.00 / 500g</t>
        </is>
      </c>
    </row>
    <row r="6">
      <c r="A6" t="inlineStr">
        <is>
          <t>3. 통조림 &amp; 파우치 (HS 160557)</t>
        </is>
      </c>
      <c r="B6" t="inlineStr">
        <is>
          <t>미국, 캐나다 (Cash Cow)</t>
        </is>
      </c>
      <c r="C6" t="inlineStr">
        <is>
          <t>호주 (시드니), 영국/독일</t>
        </is>
      </c>
      <c r="D6" t="inlineStr">
        <is>
          <t>중국 (대량 유통)</t>
        </is>
      </c>
      <c r="E6" t="inlineStr">
        <is>
          <t>해상 (Sea) 400g 캔 / 1kg 파우치</t>
        </is>
      </c>
      <c r="F6" t="inlineStr">
        <is>
          <t>$14.30/캔, $26.80/kg</t>
        </is>
      </c>
    </row>
    <row r="7">
      <c r="A7" t="inlineStr">
        <is>
          <t>4. 횟감용 IQF 냉동전복 (HS 030783)</t>
        </is>
      </c>
      <c r="B7" t="inlineStr">
        <is>
          <t>일본 (도쿄/오사카)</t>
        </is>
      </c>
      <c r="C7" t="inlineStr">
        <is>
          <t>베트남, 태국, 호주</t>
        </is>
      </c>
      <c r="D7" t="inlineStr">
        <is>
          <t>유럽 (Selective)</t>
        </is>
      </c>
      <c r="E7" t="inlineStr">
        <is>
          <t>해상/항공 IQF 개별급속동결</t>
        </is>
      </c>
      <c r="F7" t="inlineStr">
        <is>
          <t>$30.00 / kg</t>
        </is>
      </c>
    </row>
    <row r="8">
      <c r="A8" t="inlineStr">
        <is>
          <t>5. 전복 내장소스 (HS 210390)</t>
        </is>
      </c>
      <c r="B8" t="inlineStr">
        <is>
          <t>미국 (메인스트림)</t>
        </is>
      </c>
      <c r="C8" t="inlineStr">
        <is>
          <t>프랑스, 네덜란드, 이탈리아</t>
        </is>
      </c>
      <c r="D8" t="inlineStr">
        <is>
          <t>말레이시아</t>
        </is>
      </c>
      <c r="E8" t="inlineStr">
        <is>
          <t>해상 유리병 / 레토르트 파우치</t>
        </is>
      </c>
      <c r="F8" t="inlineStr">
        <is>
          <t>$12.50 / 병 (200g)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6" customWidth="1" min="3" max="3"/>
    <col width="18" customWidth="1" min="4" max="4"/>
    <col width="35" customWidth="1" min="5" max="5"/>
    <col width="44" customWidth="1" min="6" max="6"/>
    <col width="37" customWidth="1" min="7" max="7"/>
  </cols>
  <sheetData>
    <row r="1">
      <c r="A1" s="1" t="inlineStr">
        <is>
          <t>품목별 Top 국가 잠재고객사 / 수산 전문 바이어 종합 DB (20개사)</t>
        </is>
      </c>
    </row>
    <row r="2"/>
    <row r="3">
      <c r="A3" s="2" t="inlineStr">
        <is>
          <t>품목 분류 (HS Code)</t>
        </is>
      </c>
      <c r="B3" s="2" t="inlineStr">
        <is>
          <t>Top 타겟 국가</t>
        </is>
      </c>
      <c r="C3" s="2" t="inlineStr">
        <is>
          <t>잠재고객사 (바이어 사명)</t>
        </is>
      </c>
      <c r="D3" s="2" t="inlineStr">
        <is>
          <t>유통 채널 / 형태</t>
        </is>
      </c>
      <c r="E3" s="2" t="inlineStr">
        <is>
          <t>웹사이트</t>
        </is>
      </c>
      <c r="F3" s="2" t="inlineStr">
        <is>
          <t>이메일 / 연락처</t>
        </is>
      </c>
      <c r="G3" s="2" t="inlineStr">
        <is>
          <t>타겟 구매 품목 &amp; CIF 단가</t>
        </is>
      </c>
    </row>
    <row r="4">
      <c r="A4" t="inlineStr">
        <is>
          <t>1. 활전복 (HS 030781)</t>
        </is>
      </c>
      <c r="B4" t="inlineStr">
        <is>
          <t>홍콩 (Star)</t>
        </is>
      </c>
      <c r="C4" t="inlineStr">
        <is>
          <t>On Kee Dry Seafood (安記海味)</t>
        </is>
      </c>
      <c r="D4" t="inlineStr">
        <is>
          <t>수산 도매 / 파인다이닝</t>
        </is>
      </c>
      <c r="E4" t="inlineStr">
        <is>
          <t>https://www.onkee.com</t>
        </is>
      </c>
      <c r="F4" t="inlineStr">
        <is>
          <t>info@onkee.com / +852 2544 0008</t>
        </is>
      </c>
      <c r="G4" t="inlineStr">
        <is>
          <t>7~8미/kg 활전복 ($33.50/kg CIF)</t>
        </is>
      </c>
    </row>
    <row r="5">
      <c r="A5" t="inlineStr">
        <is>
          <t>1. 활전복 (HS 030781)</t>
        </is>
      </c>
      <c r="B5" t="inlineStr">
        <is>
          <t>싱가포르 (Star)</t>
        </is>
      </c>
      <c r="C5" t="inlineStr">
        <is>
          <t>Singapore Gourmet Express</t>
        </is>
      </c>
      <c r="D5" t="inlineStr">
        <is>
          <t>프리미엄 수산 임포터</t>
        </is>
      </c>
      <c r="E5" t="inlineStr">
        <is>
          <t>https://www.gourmetexpress.sg</t>
        </is>
      </c>
      <c r="F5" t="inlineStr">
        <is>
          <t>sales@gourmetexpress.sg / +65 6744 1166</t>
        </is>
      </c>
      <c r="G5" t="inlineStr">
        <is>
          <t>10~12미/kg 활전복 ($31.00/kg CIF)</t>
        </is>
      </c>
    </row>
    <row r="6">
      <c r="A6" t="inlineStr">
        <is>
          <t>1. 활전복 (HS 030781)</t>
        </is>
      </c>
      <c r="B6" t="inlineStr">
        <is>
          <t>베트남 (Rising)</t>
        </is>
      </c>
      <c r="C6" t="inlineStr">
        <is>
          <t>Royal Seafood (Hải Sản Hoàng Gia)</t>
        </is>
      </c>
      <c r="D6" t="inlineStr">
        <is>
          <t>고급 활수산 프랜차이즈</t>
        </is>
      </c>
      <c r="E6" t="inlineStr">
        <is>
          <t>https://haisanhoanggia.com</t>
        </is>
      </c>
      <c r="F6" t="inlineStr">
        <is>
          <t>info@haisanhoanggia.com / +84 906 289 499</t>
        </is>
      </c>
      <c r="G6" t="inlineStr">
        <is>
          <t>10~12미/kg 활전복 ($29.50/kg CIF)</t>
        </is>
      </c>
    </row>
    <row r="7">
      <c r="A7" t="inlineStr">
        <is>
          <t>1. 활전복 (HS 030781)</t>
        </is>
      </c>
      <c r="B7" t="inlineStr">
        <is>
          <t>마카오 (Star)</t>
        </is>
      </c>
      <c r="C7" t="inlineStr">
        <is>
          <t>New Yaohan Premium Supermarket</t>
        </is>
      </c>
      <c r="D7" t="inlineStr">
        <is>
          <t>카지노 / 호텔 럭셔리 유통</t>
        </is>
      </c>
      <c r="E7" t="inlineStr">
        <is>
          <t>https://www.newyaohan.com</t>
        </is>
      </c>
      <c r="F7" t="inlineStr">
        <is>
          <t>enquiry@newyaohan.com / +853 2872 5338</t>
        </is>
      </c>
      <c r="G7" t="inlineStr">
        <is>
          <t>7~8미/kg 대형 활전복 ($35.00/kg CIF)</t>
        </is>
      </c>
    </row>
    <row r="8">
      <c r="A8" t="inlineStr">
        <is>
          <t>2. 명품 건전복 (HS 030782)</t>
        </is>
      </c>
      <c r="B8" t="inlineStr">
        <is>
          <t>홍콩 (Star)</t>
        </is>
      </c>
      <c r="C8" t="inlineStr">
        <is>
          <t>Kee Wah Bakery &amp; Trading Co.</t>
        </is>
      </c>
      <c r="D8" t="inlineStr">
        <is>
          <t>보양 선물세트 / 명절 유통</t>
        </is>
      </c>
      <c r="E8" t="inlineStr">
        <is>
          <t>https://www.keewah.com</t>
        </is>
      </c>
      <c r="F8" t="inlineStr">
        <is>
          <t>cs@keewah.com / +852 2785 6066</t>
        </is>
      </c>
      <c r="G8" t="inlineStr">
        <is>
          <t>25~30미/500g 건전복 ($142.00/500g CIF)</t>
        </is>
      </c>
    </row>
    <row r="9">
      <c r="A9" t="inlineStr">
        <is>
          <t>2. 명품 건전복 (HS 030782)</t>
        </is>
      </c>
      <c r="B9" t="inlineStr">
        <is>
          <t>싱가포르 (Cash Cow)</t>
        </is>
      </c>
      <c r="C9" t="inlineStr">
        <is>
          <t>Thye Shan Medical Hall</t>
        </is>
      </c>
      <c r="D9" t="inlineStr">
        <is>
          <t>전통 한약방 / 보양재상</t>
        </is>
      </c>
      <c r="E9" t="inlineStr">
        <is>
          <t>https://www.thyeshan.com</t>
        </is>
      </c>
      <c r="F9" t="inlineStr">
        <is>
          <t>info@thyeshan.com / +65 6223 2038</t>
        </is>
      </c>
      <c r="G9" t="inlineStr">
        <is>
          <t>25~30미/500g 건전복 ($140.00/500g CIF)</t>
        </is>
      </c>
    </row>
    <row r="10">
      <c r="A10" t="inlineStr">
        <is>
          <t>2. 명품 건전복 (HS 030782)</t>
        </is>
      </c>
      <c r="B10" t="inlineStr">
        <is>
          <t>말레이시아 (Rising)</t>
        </is>
      </c>
      <c r="C10" t="inlineStr">
        <is>
          <t>Eu Yan Sang Malaysia (余仁生)</t>
        </is>
      </c>
      <c r="D10" t="inlineStr">
        <is>
          <t>동남아 최대 중화 보양 체인</t>
        </is>
      </c>
      <c r="E10" t="inlineStr">
        <is>
          <t>https://www.euyansang.com.my</t>
        </is>
      </c>
      <c r="F10" t="inlineStr">
        <is>
          <t>info@euyansang.com.my / +60 3 2118 6888</t>
        </is>
      </c>
      <c r="G10" t="inlineStr">
        <is>
          <t>30미/500g 건전복 ($138.00/500g CIF)</t>
        </is>
      </c>
    </row>
    <row r="11">
      <c r="A11" t="inlineStr">
        <is>
          <t>2. 명품 건전복 (HS 030782)</t>
        </is>
      </c>
      <c r="B11" t="inlineStr">
        <is>
          <t>미국 (Rising)</t>
        </is>
      </c>
      <c r="C11" t="inlineStr">
        <is>
          <t>Wing Hop Fung (永合豐)</t>
        </is>
      </c>
      <c r="D11" t="inlineStr">
        <is>
          <t>미서부 최대 중화 보양 체인</t>
        </is>
      </c>
      <c r="E11" t="inlineStr">
        <is>
          <t>https://www.winghopfung.com</t>
        </is>
      </c>
      <c r="F11" t="inlineStr">
        <is>
          <t>info@winghopfung.com / +1 626 285 6838</t>
        </is>
      </c>
      <c r="G11" t="inlineStr">
        <is>
          <t>20~25미/500g 건전복 ($145.00/500g CIF)</t>
        </is>
      </c>
    </row>
    <row r="12">
      <c r="A12" t="inlineStr">
        <is>
          <t>3. 통조림 &amp; 파우치 (HS 160557)</t>
        </is>
      </c>
      <c r="B12" t="inlineStr">
        <is>
          <t>미국 (Cash Cow)</t>
        </is>
      </c>
      <c r="C12" t="inlineStr">
        <is>
          <t>H Mart Commercial Division</t>
        </is>
      </c>
      <c r="D12" t="inlineStr">
        <is>
          <t>대형 아시안 마트 체인</t>
        </is>
      </c>
      <c r="E12" t="inlineStr">
        <is>
          <t>https://www.hmart.com</t>
        </is>
      </c>
      <c r="F12" t="inlineStr">
        <is>
          <t>b2b@hmart.com</t>
        </is>
      </c>
      <c r="G12" t="inlineStr">
        <is>
          <t>4미 굴소스 통조림 ($14.30/캔 CIF)</t>
        </is>
      </c>
    </row>
    <row r="13">
      <c r="A13" t="inlineStr">
        <is>
          <t>3. 통조림 &amp; 파우치 (HS 160557)</t>
        </is>
      </c>
      <c r="B13" t="inlineStr">
        <is>
          <t>캐나다 (Cash Cow)</t>
        </is>
      </c>
      <c r="C13" t="inlineStr">
        <is>
          <t>T&amp;T Supermarket Inc.</t>
        </is>
      </c>
      <c r="D13" t="inlineStr">
        <is>
          <t>대형 캐나다 아시안 마트</t>
        </is>
      </c>
      <c r="E13" t="inlineStr">
        <is>
          <t>https://www.tntsupermarket.com</t>
        </is>
      </c>
      <c r="F13" t="inlineStr">
        <is>
          <t>customer.service@tntsupermarket.com</t>
        </is>
      </c>
      <c r="G13" t="inlineStr">
        <is>
          <t>4미 굴소스 통조림 ($14.20/캔 CIF)</t>
        </is>
      </c>
    </row>
    <row r="14">
      <c r="A14" t="inlineStr">
        <is>
          <t>3. 통조림 &amp; 파우치 (HS 160557)</t>
        </is>
      </c>
      <c r="B14" t="inlineStr">
        <is>
          <t>미국 (Cash Cow)</t>
        </is>
      </c>
      <c r="C14" t="inlineStr">
        <is>
          <t>Ocean Beauty Seafoods LLC</t>
        </is>
      </c>
      <c r="D14" t="inlineStr">
        <is>
          <t>HORECA 대형 수산 벤더</t>
        </is>
      </c>
      <c r="E14" t="inlineStr">
        <is>
          <t>https://www.oceanbeauty.com</t>
        </is>
      </c>
      <c r="F14" t="inlineStr">
        <is>
          <t>info@oceanbeauty.com / +1 208 344 1600</t>
        </is>
      </c>
      <c r="G14" t="inlineStr">
        <is>
          <t>1kg 자숙전복 파우치 ($26.80/kg CIF)</t>
        </is>
      </c>
    </row>
    <row r="15">
      <c r="A15" t="inlineStr">
        <is>
          <t>3. 통조림 &amp; 파우치 (HS 160557)</t>
        </is>
      </c>
      <c r="B15" t="inlineStr">
        <is>
          <t>호주 (Rising)</t>
        </is>
      </c>
      <c r="C15" t="inlineStr">
        <is>
          <t>Woolworths Asian Procurement</t>
        </is>
      </c>
      <c r="D15" t="inlineStr">
        <is>
          <t>오세아니아 대형 리테일</t>
        </is>
      </c>
      <c r="E15" t="inlineStr">
        <is>
          <t>https://www.woolworths.com.au</t>
        </is>
      </c>
      <c r="F15" t="inlineStr">
        <is>
          <t>customer@woolworths.com.au</t>
        </is>
      </c>
      <c r="G15" t="inlineStr">
        <is>
          <t>4미 굴소스 통조림 ($15.00/캔 CIF)</t>
        </is>
      </c>
    </row>
    <row r="16">
      <c r="A16" t="inlineStr">
        <is>
          <t>4. 횟감용 IQF 냉동 (HS 030783)</t>
        </is>
      </c>
      <c r="B16" t="inlineStr">
        <is>
          <t>일본 (Star)</t>
        </is>
      </c>
      <c r="C16" t="inlineStr">
        <is>
          <t>True World Foods Japan Co., Ltd.</t>
        </is>
      </c>
      <c r="D16" t="inlineStr">
        <is>
          <t>일식 스시 / 사시미 벤더</t>
        </is>
      </c>
      <c r="E16" t="inlineStr">
        <is>
          <t>https://www.trueworldfoods.co.jp</t>
        </is>
      </c>
      <c r="F16" t="inlineStr">
        <is>
          <t>japaninfo@trueworldfoods.com</t>
        </is>
      </c>
      <c r="G16" t="inlineStr">
        <is>
          <t>10미/kg 횟감 IQF ($30.00/kg CIF)</t>
        </is>
      </c>
    </row>
    <row r="17">
      <c r="A17" t="inlineStr">
        <is>
          <t>4. 횟감용 IQF 냉동 (HS 030783)</t>
        </is>
      </c>
      <c r="B17" t="inlineStr">
        <is>
          <t>호주 (Cash Cow)</t>
        </is>
      </c>
      <c r="C17" t="inlineStr">
        <is>
          <t>De Costi Seafoods (Tassal Group)</t>
        </is>
      </c>
      <c r="D17" t="inlineStr">
        <is>
          <t>오세아니아 최대 수산 유통</t>
        </is>
      </c>
      <c r="E17" t="inlineStr">
        <is>
          <t>https://www.decosti.com.au</t>
        </is>
      </c>
      <c r="F17" t="inlineStr">
        <is>
          <t>info@decosti.com.au / +61 2 9649 7699</t>
        </is>
      </c>
      <c r="G17" t="inlineStr">
        <is>
          <t>In-shell 냉동전복 ($28.50/kg CIF)</t>
        </is>
      </c>
    </row>
    <row r="18">
      <c r="A18" t="inlineStr">
        <is>
          <t>4. 횟감용 IQF 냉동 (HS 030783)</t>
        </is>
      </c>
      <c r="B18" t="inlineStr">
        <is>
          <t>베트남 (Rising)</t>
        </is>
      </c>
      <c r="C18" t="inlineStr">
        <is>
          <t>Yamamoto Seafoods Vietnam</t>
        </is>
      </c>
      <c r="D18" t="inlineStr">
        <is>
          <t>일식 퓨전 뷔페 유통사</t>
        </is>
      </c>
      <c r="E18" t="inlineStr">
        <is>
          <t>https://www.yamamotoseafood.vn</t>
        </is>
      </c>
      <c r="F18" t="inlineStr">
        <is>
          <t>info@yamamotoseafood.vn</t>
        </is>
      </c>
      <c r="G18" t="inlineStr">
        <is>
          <t>Shell-off IQF 냉동전복 ($29.00/kg CIF)</t>
        </is>
      </c>
    </row>
    <row r="19">
      <c r="A19" t="inlineStr">
        <is>
          <t>4. 횟감용 IQF 냉동 (HS 030783)</t>
        </is>
      </c>
      <c r="B19" t="inlineStr">
        <is>
          <t>태국 (Rising)</t>
        </is>
      </c>
      <c r="C19" t="inlineStr">
        <is>
          <t>Central Food Retail (Tops Super)</t>
        </is>
      </c>
      <c r="D19" t="inlineStr">
        <is>
          <t>태국 프리미엄 수산 유통</t>
        </is>
      </c>
      <c r="E19" t="inlineStr">
        <is>
          <t>https://www.tops.co.th</t>
        </is>
      </c>
      <c r="F19" t="inlineStr">
        <is>
          <t>cpr@central.co.th / +66 2 831 7300</t>
        </is>
      </c>
      <c r="G19" t="inlineStr">
        <is>
          <t>In-shell IQF 냉동전복 ($29.50/kg CIF)</t>
        </is>
      </c>
    </row>
    <row r="20">
      <c r="A20" t="inlineStr">
        <is>
          <t>5. 전복 내장소스 (HS 210390)</t>
        </is>
      </c>
      <c r="B20" t="inlineStr">
        <is>
          <t>프랑스 (Rising)</t>
        </is>
      </c>
      <c r="C20" t="inlineStr">
        <is>
          <t>Maison Plisson / Gourmet Food</t>
        </is>
      </c>
      <c r="D20" t="inlineStr">
        <is>
          <t>파리 프리미엄 시푸드 델리</t>
        </is>
      </c>
      <c r="E20" t="inlineStr">
        <is>
          <t>https://www.lamaisonplisson.com</t>
        </is>
      </c>
      <c r="F20" t="inlineStr">
        <is>
          <t>contact@lamaisonplisson.com</t>
        </is>
      </c>
      <c r="G20" t="inlineStr">
        <is>
          <t>200g 유리병 게우소스 ($12.50/병 CIF)</t>
        </is>
      </c>
    </row>
    <row r="21">
      <c r="A21" t="inlineStr">
        <is>
          <t>5. 전복 내장소스 (HS 210390)</t>
        </is>
      </c>
      <c r="B21" t="inlineStr">
        <is>
          <t>네덜란드 (Rising)</t>
        </is>
      </c>
      <c r="C21" t="inlineStr">
        <is>
          <t>Schmidt Zeevis Rotterdam</t>
        </is>
      </c>
      <c r="D21" t="inlineStr">
        <is>
          <t>네덜란드 최고급 수산 델리</t>
        </is>
      </c>
      <c r="E21" t="inlineStr">
        <is>
          <t>https://www.schmidtzeevis.nl</t>
        </is>
      </c>
      <c r="F21" t="inlineStr">
        <is>
          <t>info@schmidtzeevis.nl / +31 10 444 3555</t>
        </is>
      </c>
      <c r="G21" t="inlineStr">
        <is>
          <t>200g 유리병 / 1kg 파우치 ($12.80/병)</t>
        </is>
      </c>
    </row>
    <row r="22">
      <c r="A22" t="inlineStr">
        <is>
          <t>5. 전복 내장소스 (HS 210390)</t>
        </is>
      </c>
      <c r="B22" t="inlineStr">
        <is>
          <t>이탈리아 (Rising)</t>
        </is>
      </c>
      <c r="C22" t="inlineStr">
        <is>
          <t>Eataly Seafood Procurement</t>
        </is>
      </c>
      <c r="D22" t="inlineStr">
        <is>
          <t>글로벌 프리미엄 식자재</t>
        </is>
      </c>
      <c r="E22" t="inlineStr">
        <is>
          <t>https://www.eataly.net</t>
        </is>
      </c>
      <c r="F22" t="inlineStr">
        <is>
          <t>info@eataly.it / +39 011 1950 6801</t>
        </is>
      </c>
      <c r="G22" t="inlineStr">
        <is>
          <t>200g 전복 내장 소스 ($13.00/병 CIF)</t>
        </is>
      </c>
    </row>
    <row r="23">
      <c r="A23" t="inlineStr">
        <is>
          <t>5. 전복 내장소스 (HS 210390)</t>
        </is>
      </c>
      <c r="B23" t="inlineStr">
        <is>
          <t>미국 (Rising)</t>
        </is>
      </c>
      <c r="C23" t="inlineStr">
        <is>
          <t>Trader Joe's Specialty Sourcing</t>
        </is>
      </c>
      <c r="D23" t="inlineStr">
        <is>
          <t>미국 내쇼날 스페셜티 유통</t>
        </is>
      </c>
      <c r="E23" t="inlineStr">
        <is>
          <t>https://www.traderjoes.com</t>
        </is>
      </c>
      <c r="F23" t="inlineStr">
        <is>
          <t>customer@traderjoes.com</t>
        </is>
      </c>
      <c r="G23" t="inlineStr">
        <is>
          <t>200g 레토르트 파우치 소스 ($12.00/파우치)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59" customWidth="1" min="3" max="3"/>
    <col width="47" customWidth="1" min="4" max="4"/>
  </cols>
  <sheetData>
    <row r="1">
      <c r="A1" s="1" t="inlineStr">
        <is>
          <t>1인 종합상사 실전 비즈니스 파이프라인 &amp; 5단계 액션 플레이북</t>
        </is>
      </c>
    </row>
    <row r="2"/>
    <row r="3">
      <c r="A3" s="2" t="inlineStr">
        <is>
          <t>실전 단계 (Step)</t>
        </is>
      </c>
      <c r="B3" s="2" t="inlineStr">
        <is>
          <t>액션 제목 (Action Title)</t>
        </is>
      </c>
      <c r="C3" s="2" t="inlineStr">
        <is>
          <t>세부 실행 내용 (Execution Details)</t>
        </is>
      </c>
      <c r="D3" s="2" t="inlineStr">
        <is>
          <t>핵심 성공 요인 (KPI / Key Factors)</t>
        </is>
      </c>
    </row>
    <row r="4">
      <c r="A4" t="inlineStr">
        <is>
          <t>Step 1 / Action 1</t>
        </is>
      </c>
      <c r="B4" t="inlineStr">
        <is>
          <t>Cold Outreach &amp; Pitching</t>
        </is>
      </c>
      <c r="C4" t="inlineStr">
        <is>
          <t>Top 20 바이어 담당자 대상 영문/중문 제안서 송부</t>
        </is>
      </c>
      <c r="D4" t="inlineStr">
        <is>
          <t>현지 시세 대비 15% 우위 단가 + 폐사율 3% 보증 + 50kg MOQ 오퍼</t>
        </is>
      </c>
    </row>
    <row r="5">
      <c r="A5" t="inlineStr">
        <is>
          <t>Step 2 / Action 2</t>
        </is>
      </c>
      <c r="B5" t="inlineStr">
        <is>
          <t>Sample Shipping &amp; Testing</t>
        </is>
      </c>
      <c r="C5" t="inlineStr">
        <is>
          <t>10kg 산소주입 활전복 팩 Air Express 송부 / 통조림 1박스 수송</t>
        </is>
      </c>
      <c r="D5" t="inlineStr">
        <is>
          <t>24시간 도착 후 생존율, 수율(Meat Yield), 멸균 품질 검증서 승인</t>
        </is>
      </c>
    </row>
    <row r="6">
      <c r="A6" t="inlineStr">
        <is>
          <t>Step 3 / Action 3</t>
        </is>
      </c>
      <c r="B6" t="inlineStr">
        <is>
          <t>Contract &amp; Financial Term</t>
        </is>
      </c>
      <c r="C6" t="inlineStr">
        <is>
          <t>신규 거래처 T/T 30% Deposit + 70% B/L Copy / 대형사 L/C at Sight</t>
        </is>
      </c>
      <c r="D6" t="inlineStr">
        <is>
          <t>무조건부 일람출급 신용장(L/C) 활용으로 대금 회수 리스크 100% 차단</t>
        </is>
      </c>
    </row>
    <row r="7">
      <c r="A7" t="inlineStr">
        <is>
          <t>Step 4 / Action 4</t>
        </is>
      </c>
      <c r="B7" t="inlineStr">
        <is>
          <t>Compliance &amp; Customs Clearance</t>
        </is>
      </c>
      <c r="C7" t="inlineStr">
        <is>
          <t>미국 FDA Prior Notice, 베트남 한-베 FTA C/O, 유럽 EU 위생허가</t>
        </is>
      </c>
      <c r="D7" t="inlineStr">
        <is>
          <t>베트남 관세 0% C/O 발급 및 미국 FDA 사전통보 승인 연동</t>
        </is>
      </c>
    </row>
    <row r="8">
      <c r="A8" t="inlineStr">
        <is>
          <t>Step 5 / Action 5</t>
        </is>
      </c>
      <c r="B8" t="inlineStr">
        <is>
          <t>Re-order &amp; Seasonality Supply</t>
        </is>
      </c>
      <c r="C8" t="inlineStr">
        <is>
          <t>춘절/중추절 3개월 전 명품 건전복 계약, 북미 연말 통조림 FCL 발주</t>
        </is>
      </c>
      <c r="D8" t="inlineStr">
        <is>
          <t>계절별 수급 파이프라인 구축을 통한 바이어 LTV 극대화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2026-07-24T02:05:34Z</dcterms:created>
  <dcterms:modified xmlns:dcterms="http://purl.org/dc/terms/" xmlns:xsi="http://www.w3.org/2001/XMLSchema-instance" xsi:type="dcterms:W3CDTF">2026-07-24T02:05:34Z</dcterms:modified>
</cp:coreProperties>
</file>