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Analysis" sheetId="2" state="visible" r:id="rId2"/>
    <sheet xmlns:r="http://schemas.openxmlformats.org/officeDocument/2006/relationships" name="RawData"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Malgun Gothic"/>
      <b val="1"/>
      <color rgb="00FFFFFF"/>
      <sz val="10"/>
    </font>
    <font>
      <name val="Malgun Gothic"/>
      <b val="1"/>
      <color rgb="00004F2F"/>
      <sz val="18"/>
    </font>
    <font>
      <name val="Malgun Gothic"/>
      <color rgb="00666666"/>
      <sz val="9"/>
    </font>
    <font>
      <name val="Malgun Gothic"/>
      <b val="1"/>
      <color rgb="00004F2F"/>
      <sz val="16"/>
    </font>
    <font>
      <name val="Malgun Gothic"/>
      <b val="1"/>
      <color rgb="00333333"/>
      <sz val="12"/>
    </font>
    <font>
      <name val="Malgun Gothic"/>
      <sz val="9"/>
    </font>
  </fonts>
  <fills count="5">
    <fill>
      <patternFill/>
    </fill>
    <fill>
      <patternFill patternType="gray125"/>
    </fill>
    <fill>
      <patternFill patternType="solid">
        <fgColor rgb="00004F2F"/>
        <bgColor rgb="00004F2F"/>
      </patternFill>
    </fill>
    <fill>
      <patternFill patternType="solid">
        <fgColor rgb="00336633"/>
        <bgColor rgb="00336633"/>
      </patternFill>
    </fill>
    <fill>
      <patternFill patternType="solid">
        <fgColor rgb="00F2F7F4"/>
        <bgColor rgb="00F2F7F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2" fillId="0"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xf>
    <xf numFmtId="0" fontId="5" fillId="0" borderId="0" pivotButton="0" quotePrefix="0" xfId="0"/>
    <xf numFmtId="0" fontId="1" fillId="2" borderId="0" applyAlignment="1" pivotButton="0" quotePrefix="0" xfId="0">
      <alignment horizontal="center"/>
    </xf>
    <xf numFmtId="0" fontId="6" fillId="0" borderId="1" applyAlignment="1" pivotButton="0" quotePrefix="0" xfId="0">
      <alignment horizontal="left"/>
    </xf>
    <xf numFmtId="0" fontId="6" fillId="0" borderId="1" applyAlignment="1" pivotButton="0" quotePrefix="0" xfId="0">
      <alignment horizontal="center"/>
    </xf>
    <xf numFmtId="164" fontId="6" fillId="0" borderId="1" applyAlignment="1" pivotButton="0" quotePrefix="0" xfId="0">
      <alignment horizontal="center"/>
    </xf>
    <xf numFmtId="3" fontId="6" fillId="0" borderId="1" applyAlignment="1" pivotButton="0" quotePrefix="0" xfId="0">
      <alignment horizontal="center"/>
    </xf>
    <xf numFmtId="0" fontId="1" fillId="3" borderId="0" applyAlignment="1" pivotButton="0" quotePrefix="0" xfId="0">
      <alignment horizontal="center"/>
    </xf>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출판사 TOP 10 베스트셀러 수</a:t>
            </a:r>
          </a:p>
        </rich>
      </tx>
    </title>
    <plotArea>
      <barChart>
        <barDir val="col"/>
        <grouping val="clustered"/>
        <ser>
          <idx val="0"/>
          <order val="0"/>
          <tx>
            <strRef>
              <f>'Dashboard'!B7</f>
            </strRef>
          </tx>
          <spPr>
            <a:ln xmlns:a="http://schemas.openxmlformats.org/drawingml/2006/main">
              <a:prstDash val="solid"/>
            </a:ln>
          </spPr>
          <cat>
            <numRef>
              <f>'Dashboard'!$A$8:$A$17</f>
            </numRef>
          </cat>
          <val>
            <numRef>
              <f>'Dashboard'!$B$8:$B$17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출판사</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도서 수 (권)</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가격구간별 도서 수 분포</a:t>
            </a:r>
          </a:p>
        </rich>
      </tx>
    </title>
    <plotArea>
      <barChart>
        <barDir val="col"/>
        <grouping val="clustered"/>
        <ser>
          <idx val="0"/>
          <order val="0"/>
          <tx>
            <strRef>
              <f>'Dashboard'!G7</f>
            </strRef>
          </tx>
          <spPr>
            <a:ln xmlns:a="http://schemas.openxmlformats.org/drawingml/2006/main">
              <a:prstDash val="solid"/>
            </a:ln>
          </spPr>
          <cat>
            <numRef>
              <f>'Dashboard'!$F$8:$F$13</f>
            </numRef>
          </cat>
          <val>
            <numRef>
              <f>'Dashboard'!$G$8:$G$13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가격대</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도서 수 (권)</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18</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18</row>
      <rowOff>0</rowOff>
    </from>
    <ext cx="50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20" customWidth="1" min="1" max="1"/>
    <col width="15" customWidth="1" min="2" max="2"/>
    <col width="15" customWidth="1" min="3" max="3"/>
    <col width="15" customWidth="1" min="4" max="4"/>
    <col width="10" customWidth="1" min="5" max="5"/>
    <col width="16" customWidth="1" min="6" max="6"/>
    <col width="15" customWidth="1" min="7" max="7"/>
    <col width="15" customWidth="1" min="8" max="8"/>
    <col width="10" customWidth="1" min="9" max="9"/>
    <col width="15" customWidth="1" min="10" max="10"/>
    <col width="10" customWidth="1" min="11" max="11"/>
    <col width="10" customWidth="1" min="12" max="12"/>
    <col width="10" customWidth="1" min="13" max="13"/>
    <col width="10" customWidth="1" min="14" max="14"/>
  </cols>
  <sheetData>
    <row r="1">
      <c r="A1" s="1" t="inlineStr">
        <is>
          <t>교보문고 실시간 베스트셀러 분석 대시보드</t>
        </is>
      </c>
    </row>
    <row r="2"/>
    <row r="3">
      <c r="A3" s="2" t="inlineStr">
        <is>
          <t>총 도서 수</t>
        </is>
      </c>
      <c r="B3" s="3" t="n"/>
      <c r="D3" s="2" t="inlineStr">
        <is>
          <t>평균 정가</t>
        </is>
      </c>
      <c r="E3" s="3" t="n"/>
      <c r="G3" s="2" t="inlineStr">
        <is>
          <t>평균 평점</t>
        </is>
      </c>
      <c r="H3" s="3" t="n"/>
      <c r="J3" s="2" t="inlineStr">
        <is>
          <t>총 리뷰 수</t>
        </is>
      </c>
      <c r="K3" s="3" t="n"/>
    </row>
    <row r="4">
      <c r="A4" s="4">
        <f>COUNTA(RawData!C2:C51)</f>
        <v/>
      </c>
      <c r="B4" s="3" t="n"/>
      <c r="D4" s="4">
        <f>AVERAGE(RawData!H2:H51)</f>
        <v/>
      </c>
      <c r="E4" s="3" t="n"/>
      <c r="G4" s="4">
        <f>AVERAGE(RawData!M2:M51)</f>
        <v/>
      </c>
      <c r="H4" s="3" t="n"/>
      <c r="J4" s="4">
        <f>SUM(RawData!L2:L51)</f>
        <v/>
      </c>
      <c r="K4" s="3" t="n"/>
    </row>
    <row r="5"/>
    <row r="6">
      <c r="A6" s="5" t="inlineStr">
        <is>
          <t>점유율 상위 출판사 TOP 10</t>
        </is>
      </c>
      <c r="F6" s="5" t="inlineStr">
        <is>
          <t>가격대별 분포 현황</t>
        </is>
      </c>
    </row>
    <row r="7">
      <c r="A7" s="6" t="inlineStr">
        <is>
          <t>출판사</t>
        </is>
      </c>
      <c r="B7" s="6" t="inlineStr">
        <is>
          <t>도서건수</t>
        </is>
      </c>
      <c r="C7" s="6" t="inlineStr">
        <is>
          <t>평균평점</t>
        </is>
      </c>
      <c r="D7" s="6" t="inlineStr">
        <is>
          <t>총리뷰건수</t>
        </is>
      </c>
      <c r="F7" s="6" t="inlineStr">
        <is>
          <t>가격구간</t>
        </is>
      </c>
      <c r="G7" s="6" t="inlineStr">
        <is>
          <t>도서건수</t>
        </is>
      </c>
      <c r="H7" s="6" t="inlineStr">
        <is>
          <t>평균평점</t>
        </is>
      </c>
    </row>
    <row r="8">
      <c r="A8" s="7">
        <f>Analysis!A2</f>
        <v/>
      </c>
      <c r="B8" s="8">
        <f>Analysis!B2</f>
        <v/>
      </c>
      <c r="C8" s="9">
        <f>Analysis!C2</f>
        <v/>
      </c>
      <c r="D8" s="10">
        <f>Analysis!D2</f>
        <v/>
      </c>
      <c r="F8" s="8">
        <f>Analysis!H2</f>
        <v/>
      </c>
      <c r="G8" s="8">
        <f>Analysis!I2</f>
        <v/>
      </c>
      <c r="H8" s="9">
        <f>Analysis!J2</f>
        <v/>
      </c>
    </row>
    <row r="9">
      <c r="A9" s="7">
        <f>Analysis!A3</f>
        <v/>
      </c>
      <c r="B9" s="8">
        <f>Analysis!B3</f>
        <v/>
      </c>
      <c r="C9" s="9">
        <f>Analysis!C3</f>
        <v/>
      </c>
      <c r="D9" s="10">
        <f>Analysis!D3</f>
        <v/>
      </c>
      <c r="F9" s="8">
        <f>Analysis!H3</f>
        <v/>
      </c>
      <c r="G9" s="8">
        <f>Analysis!I3</f>
        <v/>
      </c>
      <c r="H9" s="9">
        <f>Analysis!J3</f>
        <v/>
      </c>
    </row>
    <row r="10">
      <c r="A10" s="7">
        <f>Analysis!A4</f>
        <v/>
      </c>
      <c r="B10" s="8">
        <f>Analysis!B4</f>
        <v/>
      </c>
      <c r="C10" s="9">
        <f>Analysis!C4</f>
        <v/>
      </c>
      <c r="D10" s="10">
        <f>Analysis!D4</f>
        <v/>
      </c>
      <c r="F10" s="8">
        <f>Analysis!H4</f>
        <v/>
      </c>
      <c r="G10" s="8">
        <f>Analysis!I4</f>
        <v/>
      </c>
      <c r="H10" s="9">
        <f>Analysis!J4</f>
        <v/>
      </c>
    </row>
    <row r="11">
      <c r="A11" s="7">
        <f>Analysis!A5</f>
        <v/>
      </c>
      <c r="B11" s="8">
        <f>Analysis!B5</f>
        <v/>
      </c>
      <c r="C11" s="9">
        <f>Analysis!C5</f>
        <v/>
      </c>
      <c r="D11" s="10">
        <f>Analysis!D5</f>
        <v/>
      </c>
      <c r="F11" s="8">
        <f>Analysis!H5</f>
        <v/>
      </c>
      <c r="G11" s="8">
        <f>Analysis!I5</f>
        <v/>
      </c>
      <c r="H11" s="9">
        <f>Analysis!J5</f>
        <v/>
      </c>
    </row>
    <row r="12">
      <c r="A12" s="7">
        <f>Analysis!A6</f>
        <v/>
      </c>
      <c r="B12" s="8">
        <f>Analysis!B6</f>
        <v/>
      </c>
      <c r="C12" s="9">
        <f>Analysis!C6</f>
        <v/>
      </c>
      <c r="D12" s="10">
        <f>Analysis!D6</f>
        <v/>
      </c>
      <c r="F12" s="8">
        <f>Analysis!H6</f>
        <v/>
      </c>
      <c r="G12" s="8">
        <f>Analysis!I6</f>
        <v/>
      </c>
      <c r="H12" s="9">
        <f>Analysis!J6</f>
        <v/>
      </c>
    </row>
    <row r="13">
      <c r="A13" s="7">
        <f>Analysis!A7</f>
        <v/>
      </c>
      <c r="B13" s="8">
        <f>Analysis!B7</f>
        <v/>
      </c>
      <c r="C13" s="9">
        <f>Analysis!C7</f>
        <v/>
      </c>
      <c r="D13" s="10">
        <f>Analysis!D7</f>
        <v/>
      </c>
      <c r="F13" s="8">
        <f>Analysis!H7</f>
        <v/>
      </c>
      <c r="G13" s="8">
        <f>Analysis!I7</f>
        <v/>
      </c>
      <c r="H13" s="9">
        <f>Analysis!J7</f>
        <v/>
      </c>
    </row>
    <row r="14">
      <c r="A14" s="7">
        <f>Analysis!A8</f>
        <v/>
      </c>
      <c r="B14" s="8">
        <f>Analysis!B8</f>
        <v/>
      </c>
      <c r="C14" s="9">
        <f>Analysis!C8</f>
        <v/>
      </c>
      <c r="D14" s="10">
        <f>Analysis!D8</f>
        <v/>
      </c>
    </row>
    <row r="15">
      <c r="A15" s="7">
        <f>Analysis!A9</f>
        <v/>
      </c>
      <c r="B15" s="8">
        <f>Analysis!B9</f>
        <v/>
      </c>
      <c r="C15" s="9">
        <f>Analysis!C9</f>
        <v/>
      </c>
      <c r="D15" s="10">
        <f>Analysis!D9</f>
        <v/>
      </c>
    </row>
    <row r="16">
      <c r="A16" s="7">
        <f>Analysis!A10</f>
        <v/>
      </c>
      <c r="B16" s="8">
        <f>Analysis!B10</f>
        <v/>
      </c>
      <c r="C16" s="9">
        <f>Analysis!C10</f>
        <v/>
      </c>
      <c r="D16" s="10">
        <f>Analysis!D10</f>
        <v/>
      </c>
    </row>
    <row r="17">
      <c r="A17" s="7">
        <f>Analysis!A11</f>
        <v/>
      </c>
      <c r="B17" s="8">
        <f>Analysis!B11</f>
        <v/>
      </c>
      <c r="C17" s="9">
        <f>Analysis!C11</f>
        <v/>
      </c>
      <c r="D17" s="10">
        <f>Analysis!D11</f>
        <v/>
      </c>
    </row>
  </sheetData>
  <mergeCells count="9">
    <mergeCell ref="A4:B4"/>
    <mergeCell ref="A1:N2"/>
    <mergeCell ref="G4:H4"/>
    <mergeCell ref="J3:K3"/>
    <mergeCell ref="J4:K4"/>
    <mergeCell ref="D4:E4"/>
    <mergeCell ref="D3:E3"/>
    <mergeCell ref="A3:B3"/>
    <mergeCell ref="G3:H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6"/>
  <sheetViews>
    <sheetView showGridLines="1" workbookViewId="0">
      <selection activeCell="A1" sqref="A1"/>
    </sheetView>
  </sheetViews>
  <sheetFormatPr baseColWidth="8" defaultRowHeight="15"/>
  <cols>
    <col width="13" customWidth="1" min="1" max="1"/>
    <col width="15" customWidth="1" min="2" max="2"/>
    <col width="15" customWidth="1" min="3" max="3"/>
    <col width="15" customWidth="1" min="4" max="4"/>
    <col width="10" customWidth="1" min="5" max="5"/>
    <col width="11" customWidth="1" min="6" max="6"/>
    <col width="11" customWidth="1" min="7" max="7"/>
    <col width="14" customWidth="1" min="8" max="8"/>
    <col width="15" customWidth="1" min="9" max="9"/>
    <col width="15" customWidth="1" min="10" max="10"/>
    <col width="10" customWidth="1" min="11" max="11"/>
    <col width="11" customWidth="1" min="12" max="12"/>
    <col width="11" customWidth="1" min="13" max="13"/>
    <col width="15" customWidth="1" min="14" max="14"/>
    <col width="15" customWidth="1" min="15" max="15"/>
    <col width="15" customWidth="1" min="16" max="16"/>
  </cols>
  <sheetData>
    <row r="1">
      <c r="A1" s="11" t="inlineStr">
        <is>
          <t>출판사</t>
        </is>
      </c>
      <c r="B1" s="11" t="inlineStr">
        <is>
          <t>도서건수</t>
        </is>
      </c>
      <c r="C1" s="11" t="inlineStr">
        <is>
          <t>평균평점</t>
        </is>
      </c>
      <c r="D1" s="11" t="inlineStr">
        <is>
          <t>총리뷰건수</t>
        </is>
      </c>
      <c r="F1" s="11" t="inlineStr">
        <is>
          <t>구간하한</t>
        </is>
      </c>
      <c r="G1" s="11" t="inlineStr">
        <is>
          <t>구간상한</t>
        </is>
      </c>
      <c r="H1" s="11" t="inlineStr">
        <is>
          <t>가격구간</t>
        </is>
      </c>
      <c r="I1" s="11" t="inlineStr">
        <is>
          <t>도서건수</t>
        </is>
      </c>
      <c r="J1" s="11" t="inlineStr">
        <is>
          <t>평균평점</t>
        </is>
      </c>
      <c r="L1" s="11" t="inlineStr">
        <is>
          <t>평점하한</t>
        </is>
      </c>
      <c r="M1" s="11" t="inlineStr">
        <is>
          <t>평점상한</t>
        </is>
      </c>
      <c r="N1" s="11" t="inlineStr">
        <is>
          <t>평점구간</t>
        </is>
      </c>
      <c r="O1" s="11" t="inlineStr">
        <is>
          <t>도서건수</t>
        </is>
      </c>
      <c r="P1" s="11" t="inlineStr">
        <is>
          <t>평균리뷰수</t>
        </is>
      </c>
    </row>
    <row r="2">
      <c r="A2" t="inlineStr">
        <is>
          <t>두산매거진</t>
        </is>
      </c>
      <c r="B2">
        <f>COUNTIF(RawData!$F$2:$F$51, A2)</f>
        <v/>
      </c>
      <c r="C2">
        <f>AVERAGEIF(RawData!$F$2:$F$51, A2, RawData!$M$2:$M$51)</f>
        <v/>
      </c>
      <c r="D2">
        <f>SUMIF(RawData!$F$2:$F$51, A2, RawData!$L$2:$L$51)</f>
        <v/>
      </c>
      <c r="F2" t="n">
        <v>0</v>
      </c>
      <c r="G2" t="n">
        <v>10000</v>
      </c>
      <c r="H2" t="inlineStr">
        <is>
          <t>1만원 이하</t>
        </is>
      </c>
      <c r="I2">
        <f>COUNTIFS(RawData!$I$2:$I$51, "&gt;="&amp;F2, RawData!$I$2:$I$51, "&lt;"&amp;G2)</f>
        <v/>
      </c>
      <c r="J2">
        <f>AVERAGEIFS(RawData!$M$2:$M$51, RawData!$I$2:$I$51, "&gt;="&amp;F2, RawData!$I$2:$I$51, "&lt;"&amp;G2)</f>
        <v/>
      </c>
      <c r="L2" t="n">
        <v>0</v>
      </c>
      <c r="M2" t="n">
        <v>8</v>
      </c>
      <c r="N2" t="inlineStr">
        <is>
          <t>8.0 이하</t>
        </is>
      </c>
      <c r="O2">
        <f>COUNTIFS(RawData!$M$2:$M$51, "&gt;="&amp;L2, RawData!$M$2:$M$51, "&lt;"&amp;M2)</f>
        <v/>
      </c>
      <c r="P2">
        <f>AVERAGEIFS(RawData!$L$2:$L$51, RawData!$M$2:$M$51, "&gt;="&amp;L2, RawData!$M$2:$M$51, "&lt;"&amp;M2)</f>
        <v/>
      </c>
    </row>
    <row r="3">
      <c r="A3" t="inlineStr">
        <is>
          <t>생각의길</t>
        </is>
      </c>
      <c r="B3">
        <f>COUNTIF(RawData!$F$2:$F$51, A3)</f>
        <v/>
      </c>
      <c r="C3">
        <f>AVERAGEIF(RawData!$F$2:$F$51, A3, RawData!$M$2:$M$51)</f>
        <v/>
      </c>
      <c r="D3">
        <f>SUMIF(RawData!$F$2:$F$51, A3, RawData!$L$2:$L$51)</f>
        <v/>
      </c>
      <c r="F3" t="n">
        <v>10000</v>
      </c>
      <c r="G3" t="n">
        <v>15000</v>
      </c>
      <c r="H3" t="inlineStr">
        <is>
          <t>1만~1.5만원</t>
        </is>
      </c>
      <c r="I3">
        <f>COUNTIFS(RawData!$I$2:$I$51, "&gt;="&amp;F3, RawData!$I$2:$I$51, "&lt;"&amp;G3)</f>
        <v/>
      </c>
      <c r="J3">
        <f>AVERAGEIFS(RawData!$M$2:$M$51, RawData!$I$2:$I$51, "&gt;="&amp;F3, RawData!$I$2:$I$51, "&lt;"&amp;G3)</f>
        <v/>
      </c>
      <c r="L3" t="n">
        <v>8</v>
      </c>
      <c r="M3" t="n">
        <v>9</v>
      </c>
      <c r="N3" t="inlineStr">
        <is>
          <t>8.0 초과~9.0</t>
        </is>
      </c>
      <c r="O3">
        <f>COUNTIFS(RawData!$M$2:$M$51, "&gt;="&amp;L3, RawData!$M$2:$M$51, "&lt;"&amp;M3)</f>
        <v/>
      </c>
      <c r="P3">
        <f>AVERAGEIFS(RawData!$L$2:$L$51, RawData!$M$2:$M$51, "&gt;="&amp;L3, RawData!$M$2:$M$51, "&lt;"&amp;M3)</f>
        <v/>
      </c>
    </row>
    <row r="4">
      <c r="A4" t="inlineStr">
        <is>
          <t>비상교육</t>
        </is>
      </c>
      <c r="B4">
        <f>COUNTIF(RawData!$F$2:$F$51, A4)</f>
        <v/>
      </c>
      <c r="C4">
        <f>AVERAGEIF(RawData!$F$2:$F$51, A4, RawData!$M$2:$M$51)</f>
        <v/>
      </c>
      <c r="D4">
        <f>SUMIF(RawData!$F$2:$F$51, A4, RawData!$L$2:$L$51)</f>
        <v/>
      </c>
      <c r="F4" t="n">
        <v>15000</v>
      </c>
      <c r="G4" t="n">
        <v>20000</v>
      </c>
      <c r="H4" t="inlineStr">
        <is>
          <t>1.5만~2만원</t>
        </is>
      </c>
      <c r="I4">
        <f>COUNTIFS(RawData!$I$2:$I$51, "&gt;="&amp;F4, RawData!$I$2:$I$51, "&lt;"&amp;G4)</f>
        <v/>
      </c>
      <c r="J4">
        <f>AVERAGEIFS(RawData!$M$2:$M$51, RawData!$I$2:$I$51, "&gt;="&amp;F4, RawData!$I$2:$I$51, "&lt;"&amp;G4)</f>
        <v/>
      </c>
      <c r="L4" t="n">
        <v>9</v>
      </c>
      <c r="M4" t="n">
        <v>9.5</v>
      </c>
      <c r="N4" t="inlineStr">
        <is>
          <t>9.0 초과~9.5</t>
        </is>
      </c>
      <c r="O4">
        <f>COUNTIFS(RawData!$M$2:$M$51, "&gt;="&amp;L4, RawData!$M$2:$M$51, "&lt;"&amp;M4)</f>
        <v/>
      </c>
      <c r="P4">
        <f>AVERAGEIFS(RawData!$L$2:$L$51, RawData!$M$2:$M$51, "&gt;="&amp;L4, RawData!$M$2:$M$51, "&lt;"&amp;M4)</f>
        <v/>
      </c>
    </row>
    <row r="5">
      <c r="A5" t="inlineStr">
        <is>
          <t>이투스북</t>
        </is>
      </c>
      <c r="B5">
        <f>COUNTIF(RawData!$F$2:$F$51, A5)</f>
        <v/>
      </c>
      <c r="C5">
        <f>AVERAGEIF(RawData!$F$2:$F$51, A5, RawData!$M$2:$M$51)</f>
        <v/>
      </c>
      <c r="D5">
        <f>SUMIF(RawData!$F$2:$F$51, A5, RawData!$L$2:$L$51)</f>
        <v/>
      </c>
      <c r="F5" t="n">
        <v>20000</v>
      </c>
      <c r="G5" t="n">
        <v>25000</v>
      </c>
      <c r="H5" t="inlineStr">
        <is>
          <t>2만~2.5만원</t>
        </is>
      </c>
      <c r="I5">
        <f>COUNTIFS(RawData!$I$2:$I$51, "&gt;="&amp;F5, RawData!$I$2:$I$51, "&lt;"&amp;G5)</f>
        <v/>
      </c>
      <c r="J5">
        <f>AVERAGEIFS(RawData!$M$2:$M$51, RawData!$I$2:$I$51, "&gt;="&amp;F5, RawData!$I$2:$I$51, "&lt;"&amp;G5)</f>
        <v/>
      </c>
      <c r="L5" t="n">
        <v>9.5</v>
      </c>
      <c r="M5" t="n">
        <v>10.1</v>
      </c>
      <c r="N5" t="inlineStr">
        <is>
          <t>9.5 초과</t>
        </is>
      </c>
      <c r="O5">
        <f>COUNTIFS(RawData!$M$2:$M$51, "&gt;="&amp;L5, RawData!$M$2:$M$51, "&lt;"&amp;M5)</f>
        <v/>
      </c>
      <c r="P5">
        <f>AVERAGEIFS(RawData!$L$2:$L$51, RawData!$M$2:$M$51, "&gt;="&amp;L5, RawData!$M$2:$M$51, "&lt;"&amp;M5)</f>
        <v/>
      </c>
    </row>
    <row r="6">
      <c r="A6" t="inlineStr">
        <is>
          <t>더페이지</t>
        </is>
      </c>
      <c r="B6">
        <f>COUNTIF(RawData!$F$2:$F$51, A6)</f>
        <v/>
      </c>
      <c r="C6">
        <f>AVERAGEIF(RawData!$F$2:$F$51, A6, RawData!$M$2:$M$51)</f>
        <v/>
      </c>
      <c r="D6">
        <f>SUMIF(RawData!$F$2:$F$51, A6, RawData!$L$2:$L$51)</f>
        <v/>
      </c>
      <c r="F6" t="n">
        <v>25000</v>
      </c>
      <c r="G6" t="n">
        <v>30000</v>
      </c>
      <c r="H6" t="inlineStr">
        <is>
          <t>2.5만~3만원</t>
        </is>
      </c>
      <c r="I6">
        <f>COUNTIFS(RawData!$I$2:$I$51, "&gt;="&amp;F6, RawData!$I$2:$I$51, "&lt;"&amp;G6)</f>
        <v/>
      </c>
      <c r="J6">
        <f>AVERAGEIFS(RawData!$M$2:$M$51, RawData!$I$2:$I$51, "&gt;="&amp;F6, RawData!$I$2:$I$51, "&lt;"&amp;G6)</f>
        <v/>
      </c>
    </row>
    <row r="7">
      <c r="A7" t="inlineStr">
        <is>
          <t>허스트중앙</t>
        </is>
      </c>
      <c r="B7">
        <f>COUNTIF(RawData!$F$2:$F$51, A7)</f>
        <v/>
      </c>
      <c r="C7">
        <f>AVERAGEIF(RawData!$F$2:$F$51, A7, RawData!$M$2:$M$51)</f>
        <v/>
      </c>
      <c r="D7">
        <f>SUMIF(RawData!$F$2:$F$51, A7, RawData!$L$2:$L$51)</f>
        <v/>
      </c>
      <c r="F7" t="n">
        <v>30000</v>
      </c>
      <c r="G7" t="n">
        <v>999999</v>
      </c>
      <c r="H7" t="inlineStr">
        <is>
          <t>3만원 초과</t>
        </is>
      </c>
      <c r="I7">
        <f>COUNTIFS(RawData!$I$2:$I$51, "&gt;="&amp;F7, RawData!$I$2:$I$51, "&lt;"&amp;G7)</f>
        <v/>
      </c>
      <c r="J7">
        <f>AVERAGEIFS(RawData!$M$2:$M$51, RawData!$I$2:$I$51, "&gt;="&amp;F7, RawData!$I$2:$I$51, "&lt;"&amp;G7)</f>
        <v/>
      </c>
    </row>
    <row r="8">
      <c r="A8" t="inlineStr">
        <is>
          <t>미디어숲</t>
        </is>
      </c>
      <c r="B8">
        <f>COUNTIF(RawData!$F$2:$F$51, A8)</f>
        <v/>
      </c>
      <c r="C8">
        <f>AVERAGEIF(RawData!$F$2:$F$51, A8, RawData!$M$2:$M$51)</f>
        <v/>
      </c>
      <c r="D8">
        <f>SUMIF(RawData!$F$2:$F$51, A8, RawData!$L$2:$L$51)</f>
        <v/>
      </c>
    </row>
    <row r="9">
      <c r="A9" t="inlineStr">
        <is>
          <t>대원씨아이</t>
        </is>
      </c>
      <c r="B9">
        <f>COUNTIF(RawData!$F$2:$F$51, A9)</f>
        <v/>
      </c>
      <c r="C9">
        <f>AVERAGEIF(RawData!$F$2:$F$51, A9, RawData!$M$2:$M$51)</f>
        <v/>
      </c>
      <c r="D9">
        <f>SUMIF(RawData!$F$2:$F$51, A9, RawData!$L$2:$L$51)</f>
        <v/>
      </c>
    </row>
    <row r="10">
      <c r="A10" t="inlineStr">
        <is>
          <t>이든서재</t>
        </is>
      </c>
      <c r="B10">
        <f>COUNTIF(RawData!$F$2:$F$51, A10)</f>
        <v/>
      </c>
      <c r="C10">
        <f>AVERAGEIF(RawData!$F$2:$F$51, A10, RawData!$M$2:$M$51)</f>
        <v/>
      </c>
      <c r="D10">
        <f>SUMIF(RawData!$F$2:$F$51, A10, RawData!$L$2:$L$51)</f>
        <v/>
      </c>
    </row>
    <row r="11">
      <c r="A11" t="inlineStr">
        <is>
          <t>알토북스</t>
        </is>
      </c>
      <c r="B11">
        <f>COUNTIF(RawData!$F$2:$F$51, A11)</f>
        <v/>
      </c>
      <c r="C11">
        <f>AVERAGEIF(RawData!$F$2:$F$51, A11, RawData!$M$2:$M$51)</f>
        <v/>
      </c>
      <c r="D11">
        <f>SUMIF(RawData!$F$2:$F$51, A11, RawData!$L$2:$L$51)</f>
        <v/>
      </c>
    </row>
    <row r="12">
      <c r="A12" t="inlineStr">
        <is>
          <t>YBM</t>
        </is>
      </c>
      <c r="B12">
        <f>COUNTIF(RawData!$F$2:$F$51, A12)</f>
        <v/>
      </c>
      <c r="C12">
        <f>AVERAGEIF(RawData!$F$2:$F$51, A12, RawData!$M$2:$M$51)</f>
        <v/>
      </c>
      <c r="D12">
        <f>SUMIF(RawData!$F$2:$F$51, A12, RawData!$L$2:$L$51)</f>
        <v/>
      </c>
    </row>
    <row r="13">
      <c r="A13" t="inlineStr">
        <is>
          <t>더하트</t>
        </is>
      </c>
      <c r="B13">
        <f>COUNTIF(RawData!$F$2:$F$51, A13)</f>
        <v/>
      </c>
      <c r="C13">
        <f>AVERAGEIF(RawData!$F$2:$F$51, A13, RawData!$M$2:$M$51)</f>
        <v/>
      </c>
      <c r="D13">
        <f>SUMIF(RawData!$F$2:$F$51, A13, RawData!$L$2:$L$51)</f>
        <v/>
      </c>
    </row>
    <row r="14">
      <c r="A14" t="inlineStr">
        <is>
          <t>두산잡지BU</t>
        </is>
      </c>
      <c r="B14">
        <f>COUNTIF(RawData!$F$2:$F$51, A14)</f>
        <v/>
      </c>
      <c r="C14">
        <f>AVERAGEIF(RawData!$F$2:$F$51, A14, RawData!$M$2:$M$51)</f>
        <v/>
      </c>
      <c r="D14">
        <f>SUMIF(RawData!$F$2:$F$51, A14, RawData!$L$2:$L$51)</f>
        <v/>
      </c>
    </row>
    <row r="15">
      <c r="A15" t="inlineStr">
        <is>
          <t>리미트리스</t>
        </is>
      </c>
      <c r="B15">
        <f>COUNTIF(RawData!$F$2:$F$51, A15)</f>
        <v/>
      </c>
      <c r="C15">
        <f>AVERAGEIF(RawData!$F$2:$F$51, A15, RawData!$M$2:$M$51)</f>
        <v/>
      </c>
      <c r="D15">
        <f>SUMIF(RawData!$F$2:$F$51, A15, RawData!$L$2:$L$51)</f>
        <v/>
      </c>
    </row>
    <row r="16">
      <c r="A16" t="inlineStr">
        <is>
          <t>민음사</t>
        </is>
      </c>
      <c r="B16">
        <f>COUNTIF(RawData!$F$2:$F$51, A16)</f>
        <v/>
      </c>
      <c r="C16">
        <f>AVERAGEIF(RawData!$F$2:$F$51, A16, RawData!$M$2:$M$51)</f>
        <v/>
      </c>
      <c r="D16">
        <f>SUMIF(RawData!$F$2:$F$51, A16, RawData!$L$2:$L$51)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1"/>
  <sheetViews>
    <sheetView showGridLines="1" workbookViewId="0">
      <selection activeCell="A1" sqref="A1"/>
    </sheetView>
  </sheetViews>
  <sheetFormatPr baseColWidth="8" defaultRowHeight="15"/>
  <cols>
    <col width="16" customWidth="1" min="1" max="1"/>
    <col width="10" customWidth="1" min="2" max="2"/>
    <col width="45" customWidth="1" min="3" max="3"/>
    <col width="45" customWidth="1" min="4" max="4"/>
    <col width="23" customWidth="1" min="5" max="5"/>
    <col width="25" customWidth="1" min="6" max="6"/>
    <col width="13" customWidth="1" min="7" max="7"/>
    <col width="10" customWidth="1" min="8" max="8"/>
    <col width="10" customWidth="1" min="9" max="9"/>
    <col width="10" customWidth="1" min="10" max="10"/>
    <col width="11" customWidth="1" min="11" max="11"/>
    <col width="11" customWidth="1" min="12" max="12"/>
    <col width="10" customWidth="1" min="13" max="13"/>
    <col width="16" customWidth="1" min="14" max="14"/>
    <col width="45" customWidth="1" min="15" max="15"/>
  </cols>
  <sheetData>
    <row r="1">
      <c r="A1" s="12" t="inlineStr">
        <is>
          <t>상품번호</t>
        </is>
      </c>
      <c r="B1" s="12" t="inlineStr">
        <is>
          <t>순위</t>
        </is>
      </c>
      <c r="C1" s="12" t="inlineStr">
        <is>
          <t>도서명</t>
        </is>
      </c>
      <c r="D1" s="12" t="inlineStr">
        <is>
          <t>부제목</t>
        </is>
      </c>
      <c r="E1" s="12" t="inlineStr">
        <is>
          <t>저자</t>
        </is>
      </c>
      <c r="F1" s="12" t="inlineStr">
        <is>
          <t>출판사</t>
        </is>
      </c>
      <c r="G1" s="12" t="inlineStr">
        <is>
          <t>출판일</t>
        </is>
      </c>
      <c r="H1" s="12" t="inlineStr">
        <is>
          <t>정가</t>
        </is>
      </c>
      <c r="I1" s="12" t="inlineStr">
        <is>
          <t>할인가</t>
        </is>
      </c>
      <c r="J1" s="12" t="inlineStr">
        <is>
          <t>할인율</t>
        </is>
      </c>
      <c r="K1" s="12" t="inlineStr">
        <is>
          <t>판매지수</t>
        </is>
      </c>
      <c r="L1" s="12" t="inlineStr">
        <is>
          <t>리뷰건수</t>
        </is>
      </c>
      <c r="M1" s="12" t="inlineStr">
        <is>
          <t>평점</t>
        </is>
      </c>
      <c r="N1" s="12" t="inlineStr">
        <is>
          <t>태그</t>
        </is>
      </c>
      <c r="O1" s="12" t="inlineStr">
        <is>
          <t>이미지URL</t>
        </is>
      </c>
    </row>
    <row r="2">
      <c r="A2" t="inlineStr">
        <is>
          <t>S000220574468</t>
        </is>
      </c>
      <c r="B2" t="n">
        <v>1</v>
      </c>
      <c r="C2" t="inlineStr">
        <is>
          <t>지큐 코리아(GQ KOREA)(2026년 8월호)(C형)</t>
        </is>
      </c>
      <c r="D2"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2" t="inlineStr">
        <is>
          <t>두산매거진 편집부</t>
        </is>
      </c>
      <c r="F2" t="inlineStr">
        <is>
          <t>두산매거진</t>
        </is>
      </c>
      <c r="G2" t="inlineStr">
        <is>
          <t>2026-07-27</t>
        </is>
      </c>
      <c r="H2" t="n">
        <v>10000</v>
      </c>
      <c r="I2" t="n">
        <v>9500</v>
      </c>
      <c r="J2" t="n">
        <v>5</v>
      </c>
      <c r="K2" t="n">
        <v>0</v>
      </c>
      <c r="L2" t="n">
        <v>0</v>
      </c>
      <c r="M2" t="n">
        <v>0</v>
      </c>
      <c r="N2" t="inlineStr">
        <is>
          <t>잡지</t>
        </is>
      </c>
      <c r="O2" t="inlineStr">
        <is>
          <t>https://contents.kyobobook.co.kr/sih/fit-in/200x0/pdt/3904000621838.jpg</t>
        </is>
      </c>
    </row>
    <row r="3">
      <c r="A3" t="inlineStr">
        <is>
          <t>S000220574458</t>
        </is>
      </c>
      <c r="B3" t="n">
        <v>2</v>
      </c>
      <c r="C3" t="inlineStr">
        <is>
          <t>지큐 코리아(GQ KOREA)(2026년 8월호)(A형)</t>
        </is>
      </c>
      <c r="D3"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3" t="inlineStr">
        <is>
          <t>두산매거진 편집부</t>
        </is>
      </c>
      <c r="F3" t="inlineStr">
        <is>
          <t>두산매거진</t>
        </is>
      </c>
      <c r="G3" t="inlineStr">
        <is>
          <t>2026-07-27</t>
        </is>
      </c>
      <c r="H3" t="n">
        <v>10000</v>
      </c>
      <c r="I3" t="n">
        <v>9500</v>
      </c>
      <c r="J3" t="n">
        <v>5</v>
      </c>
      <c r="K3" t="n">
        <v>0</v>
      </c>
      <c r="L3" t="n">
        <v>0</v>
      </c>
      <c r="M3" t="n">
        <v>0</v>
      </c>
      <c r="N3" t="inlineStr">
        <is>
          <t>잡지</t>
        </is>
      </c>
      <c r="O3" t="inlineStr">
        <is>
          <t>https://contents.kyobobook.co.kr/sih/fit-in/200x0/pdt/3904000621814.jpg</t>
        </is>
      </c>
    </row>
    <row r="4">
      <c r="A4" t="inlineStr">
        <is>
          <t>S000220429584</t>
        </is>
      </c>
      <c r="B4" t="n">
        <v>3</v>
      </c>
      <c r="C4" t="inlineStr">
        <is>
          <t>유럽 도시 기행 3</t>
        </is>
      </c>
      <c r="D4" t="inlineStr">
        <is>
          <t>유럽의 서쪽 끝에서 만난, 가장 인간적인 도시들
『유럽도시기행 3』은 유라시아 대륙의 서쪽 끝, 이베리아반도의 네 도시로 독자를 이끈다. 한때 세계사의 항로를 바꾼 대항해 시대의 주역이었지만, 이후 내전과 독재, 혁명과 재건을 겪으며 쇠퇴와 정체, 혼란과 회복의 시간을 통과해 온 도시들이다. 유시민 작가는 이 도시들을 빠르게 소비하기보다 거리와 광장, 미술관과 시장, 성당과 골목, 식당과 강변을 천천히 걸으며 도시가 무엇을 기억하고 사람들이 무엇을 사랑하며 오늘을 살아가는지 들여다본다.
“정복 전쟁을 일삼았던 포르투갈 왕국은 대항해 시대의 짧은 전성기를 지나 유럽의 변방 국가로 되돌아왔다. 공화주의 혁명을 이룬 뒤에는 살라자르의 장기독재를 겪었다. 그런 역사를 살아온 사람이라면 이렇게 생각할 수 있을 것이다. ‘힘을 다해 이웃과 싸우면서 남을 정복했지만, 승리는 오래가지 않았고 남은 것도 없다. … 이웃을 적으로 삼기보다는 서로 기댈 수 있는 친구로 만드는 게 낫지 않겠는가. …그런 생각을 가진 사람은 붐비는 거리에서도 발걸음을 재촉하지 않는다. 친구나 사업 파트너를 만나면 차 한 잔을 앞에 두고 충분히 들으면서 오래 이야기를 나눈다. 이방인에게도 경계하고 의심하는 표정이 아니라 여유롭게 환대하는 미소를 선사한다. 리스본과 뽀르투 사람들한테서 나는 그런 마음을 느꼈다.”
“규모가 작지 않지만, 모든 것이 소박한 성당이었다. 스테인드글라스는 최소한의 자연광을 받아들이는 수준이었고 설교대는 조그마했으며 홀에는 기다란 나무 의자 말고는 아무것도 없었다. 가족을 두고 위험이 넘실대는 바다로 나갔던 어부들의 마음이, 출항할 때마다 일렁거렸을 불안감이, 만선의 꿈을 이루고 회항하면서 느꼈을 안도감이 느껴졌다.”
“역시 파두는 술잔을 기울이며 듣는 게 맛있었다. 오르막 골목길, 예배당 건물이었음을 짐작할 수 있는 외관, 은은하게 새어 나오는 불빛, 꾸밈없는 무대, 허세를 내뿜는 가수들의 몸짓까지 모든 것이 이국적이었다. ‘그래, 유럽 여행은 이런 맛이지.’”
작가가 들여다본 네 도시는 인간적이다. 도시의 역사가 만들어낸 영광과 몰락, 자부심과 상처, 슬픔과 유머, 결핍과 환대, 기억과 망각이 도시의 거리와 광장과 식탁 위에 고스란히 놓여있다. 이 도시들은 인간이 살아가며 겪는 거의 모든 감정을 품고 있다. 그래서 이름난 랜드마크보다 그곳 사람들의 표정, 저녁의 광장, 골목의 소음, 한 잔의 와인, 낡은 성당 안의 침묵이 작가의 마음에 더 오래 남는다. 『유럽도시기행 3』은 유시민 작가의 시선으로 포착한 유럽의 또 다른 얼굴, 가장 인간적인 도시로 우리를 안내한다.</t>
        </is>
      </c>
      <c r="E4" t="inlineStr">
        <is>
          <t>유시민</t>
        </is>
      </c>
      <c r="F4" t="inlineStr">
        <is>
          <t>생각의길</t>
        </is>
      </c>
      <c r="G4" t="inlineStr">
        <is>
          <t>2026-07-09</t>
        </is>
      </c>
      <c r="H4" t="n">
        <v>18900</v>
      </c>
      <c r="I4" t="n">
        <v>17010</v>
      </c>
      <c r="J4" t="n">
        <v>10</v>
      </c>
      <c r="K4" t="n">
        <v>0</v>
      </c>
      <c r="L4" t="n">
        <v>62</v>
      </c>
      <c r="M4" t="n">
        <v>9.93</v>
      </c>
      <c r="N4" t="inlineStr">
        <is>
          <t>인문</t>
        </is>
      </c>
      <c r="O4" t="inlineStr">
        <is>
          <t>https://contents.kyobobook.co.kr/sih/fit-in/200x0/pdt/9788965138310.jpg</t>
        </is>
      </c>
    </row>
    <row r="5">
      <c r="A5" t="inlineStr">
        <is>
          <t>S000220574470</t>
        </is>
      </c>
      <c r="B5" t="n">
        <v>4</v>
      </c>
      <c r="C5" t="inlineStr">
        <is>
          <t>지큐 코리아(GQ KOREA)(2026년 8월호)(D형)</t>
        </is>
      </c>
      <c r="D5"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5" t="inlineStr">
        <is>
          <t>두산매거진 편집부</t>
        </is>
      </c>
      <c r="F5" t="inlineStr">
        <is>
          <t>두산매거진</t>
        </is>
      </c>
      <c r="G5" t="inlineStr">
        <is>
          <t>2026-07-27</t>
        </is>
      </c>
      <c r="H5" t="n">
        <v>10000</v>
      </c>
      <c r="I5" t="n">
        <v>9500</v>
      </c>
      <c r="J5" t="n">
        <v>5</v>
      </c>
      <c r="K5" t="n">
        <v>0</v>
      </c>
      <c r="L5" t="n">
        <v>0</v>
      </c>
      <c r="M5" t="n">
        <v>0</v>
      </c>
      <c r="N5" t="inlineStr">
        <is>
          <t>잡지</t>
        </is>
      </c>
      <c r="O5" t="inlineStr">
        <is>
          <t>https://contents.kyobobook.co.kr/sih/fit-in/200x0/pdt/3904000621845.jpg</t>
        </is>
      </c>
    </row>
    <row r="6">
      <c r="A6" t="inlineStr">
        <is>
          <t>S000220574464</t>
        </is>
      </c>
      <c r="B6" t="n">
        <v>5</v>
      </c>
      <c r="C6" t="inlineStr">
        <is>
          <t>지큐 코리아(GQ KOREA)(2026년 8월호)(B형)</t>
        </is>
      </c>
      <c r="D6"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6" t="inlineStr">
        <is>
          <t>두산매거진 편집부</t>
        </is>
      </c>
      <c r="F6" t="inlineStr">
        <is>
          <t>두산잡지BU</t>
        </is>
      </c>
      <c r="G6" t="inlineStr">
        <is>
          <t>2026-07-27</t>
        </is>
      </c>
      <c r="H6" t="n">
        <v>10000</v>
      </c>
      <c r="I6" t="n">
        <v>9500</v>
      </c>
      <c r="J6" t="n">
        <v>5</v>
      </c>
      <c r="K6" t="n">
        <v>0</v>
      </c>
      <c r="L6" t="n">
        <v>0</v>
      </c>
      <c r="M6" t="n">
        <v>0</v>
      </c>
      <c r="N6" t="inlineStr">
        <is>
          <t>잡지</t>
        </is>
      </c>
      <c r="O6" t="inlineStr">
        <is>
          <t>https://contents.kyobobook.co.kr/sih/fit-in/200x0/pdt/3904000621821.jpg</t>
        </is>
      </c>
    </row>
    <row r="7">
      <c r="A7" t="inlineStr">
        <is>
          <t>S000220279442</t>
        </is>
      </c>
      <c r="B7" t="n">
        <v>6</v>
      </c>
      <c r="C7" t="inlineStr">
        <is>
          <t>니체와 함께 지적 대화를</t>
        </is>
      </c>
      <c r="D7" t="inlineStr">
        <is>
          <t>니체는 오늘날 철학자들 가운데 가장 많이 읽히고 인기 있는 철학자다. 대부분 ‘니체’ 하면 “신은 죽었다”라는 말이나 ‘초인(Ubermensch)’, ‘아모르 파티(Amor Fati)’를 떠올린다. 그러면서 자신도 니체 같은 생각을 하며 살아간다고 말한다. 그렇다면 과연 ‘니체 같은’ 생각이란 무엇일까? 또 니체 철학을 제대로 이해하고 실천하는 것일까? 《니체와 함께 지적 대화를》은 이러한 질문에서 비롯되었다.
사실 니체 철학은 어렵다. 지금까지 수많은 니체 철학책이 나왔고, 대중적으로도 널리 알려졌지만, 니체 특유의 문체와 비유로 인해 그 내용의 진의를 파악하기란 쉽지 않다. 이렇듯 ‘읽기 어려운’ 독자들을 위해 오랫동안 니체를 비롯한 철학을 깊이 탐구해 온 양원근 작가가 니체 철학을 삶에 녹여낸 철학책을 펼쳐냈다. 이 책은 니체 철학의 원문을 바탕으로 니체가 전하려던 핵심 메시지를 쉽게 이해하고, 자기 삶에 적용할 수 있도록 작가가 직접 경험한 사례와 깨달음을 담아냈다. 니체를 잘 모르는 독자들은 물론, 이미 니체 철학을 접한 독자들 역시 이 책을 통해 니체 철학에 대한 이해의 폭이 더 넓어져 관계와 일, 감정과 태도의 변화를 경험할 수 있다.
“철학은 느리다. 하지만 빨리 가는 것보다 ‘내가 왜 그 길을 가는지’ 아는 일이 중요하다. 마찬가지로 니체를 통해 더 많은 답을 얻기보다 더 ‘깊은 질문’을 품게 되기를 바란다. 그 질문 끝에서 자기 삶을 조금 더 용기 있게, 조금 더 정직하게, 조금 더 사랑하며 살아가기를 바란다.”
양원근 작가의 말이다. 사실 우리는 남들 눈치를 보느라, 착하게 보이기 위해, 또는 실패가 두려워서 자신을 희생하거나 괴롭히는 일이 많다. 그의 말처럼 ‘깊은 질문’을 품는다면 스스로 가장 ‘깊은 답’을 찾을 수 있다. 
이 책은 그저 단순히 ‘읽고 끝나는’ 철학책이 아니라, 자기 삶을 재구성하게 만드는 ‘실천하는 철학’의 안내서다. 독자들은 이 책을 통해 ‘진짜 나’를 발견하여 타인의 기준이 아닌 ‘내 삶의 주인’으로서 자아를 실현하고, 삶의 진정한 가치를 추구하게 될 것이다. 지금 삶의 고통과 괴로움에 지쳐있다면, 인생을 살아가는 이유와 목적을 몰라 혼란스럽다면, 내 인생을 ‘나답게’ 살고 싶다면 바로 니체와의 지적 대화가 필요한 순간이다. 《니체와 함께 지적 대화를》이 해결책이 되어줄 것이다.</t>
        </is>
      </c>
      <c r="E7" t="inlineStr">
        <is>
          <t>양원근</t>
        </is>
      </c>
      <c r="F7" t="inlineStr">
        <is>
          <t>리미트리스</t>
        </is>
      </c>
      <c r="G7" t="inlineStr">
        <is>
          <t>2026-06-23</t>
        </is>
      </c>
      <c r="H7" t="n">
        <v>18800</v>
      </c>
      <c r="I7" t="n">
        <v>16920</v>
      </c>
      <c r="J7" t="n">
        <v>10</v>
      </c>
      <c r="K7" t="n">
        <v>0</v>
      </c>
      <c r="L7" t="n">
        <v>67</v>
      </c>
      <c r="M7" t="n">
        <v>9.9</v>
      </c>
      <c r="N7" t="inlineStr">
        <is>
          <t>인문</t>
        </is>
      </c>
      <c r="O7" t="inlineStr">
        <is>
          <t>https://contents.kyobobook.co.kr/sih/fit-in/200x0/pdt/9791198409690.jpg</t>
        </is>
      </c>
    </row>
    <row r="8">
      <c r="A8" t="inlineStr">
        <is>
          <t>S000000620195</t>
        </is>
      </c>
      <c r="B8" t="n">
        <v>7</v>
      </c>
      <c r="C8" t="inlineStr">
        <is>
          <t>싯다르타</t>
        </is>
      </c>
      <c r="D8" t="inlineStr">
        <is>
          <t>인도에서 가장 높은 계급인 브라만의 아들 싯다르타는 깨달음을 얻기 위해 아버지의 만류에도 친구 고빈다와 함께 출가한다. 그는 불교를 창시한 석가모니 수하에서 수행할 기회를 얻지만, 부처의 가르침을 통해서가 아니라 스스로 깨달음을 찾아야 한다는 것을 깨닫고는 친구 고빈다를 두고 홀로 길을 떠난다. 이후 싯다르타는 중년이 될 때까지 사랑하는 여인과 부유한 상인을 만나 세속의 욕망을 즐기다가 그에 찌든 자신을 발견하고 모든 것을 버린 채 뱃사공이 된다.
『싯다르타』는 헤세가 거의 일 년 반 동안 창작이 거의 불가능할 정도로 심한 우울증을 앓다가 정신 치료를 받은 후 발표한 작품이다. 동서양의 정신적 유산을 시적으로 승화한 일종의 종교적 성장소설로 볼 수 있는데 영원을 향한 갈망과 인간의 내면을 깊이 파고드는 초월에 대한 의지를 단순하고도 서정적인 문체로 담아냈다. 정형화된 종교 교리와 자족적인 영혼의 성찰 사이의 고뇌를 섬세하게 그리며 자아 발견을 위한 길이 하나로 정해져 있지 않음을 시사하고 철학이나 종교, 그 밖의 모든 신념에 맹목적으로 의지하고자 하는 고정관념에 도전한 작품이다.</t>
        </is>
      </c>
      <c r="E8" t="inlineStr">
        <is>
          <t>헤르만 헤세</t>
        </is>
      </c>
      <c r="F8" t="inlineStr">
        <is>
          <t>민음사</t>
        </is>
      </c>
      <c r="G8" t="inlineStr">
        <is>
          <t>2002-01-20</t>
        </is>
      </c>
      <c r="H8" t="n">
        <v>8000</v>
      </c>
      <c r="I8" t="n">
        <v>7200</v>
      </c>
      <c r="J8" t="n">
        <v>10</v>
      </c>
      <c r="K8" t="n">
        <v>0</v>
      </c>
      <c r="L8" t="n">
        <v>1533</v>
      </c>
      <c r="M8" t="n">
        <v>9.74</v>
      </c>
      <c r="N8" t="inlineStr">
        <is>
          <t>소설</t>
        </is>
      </c>
      <c r="O8" t="inlineStr">
        <is>
          <t>https://contents.kyobobook.co.kr/sih/fit-in/200x0/pdt/9788937460586.jpg</t>
        </is>
      </c>
    </row>
    <row r="9">
      <c r="A9" t="inlineStr">
        <is>
          <t>S000219790863</t>
        </is>
      </c>
      <c r="B9" t="n">
        <v>8</v>
      </c>
      <c r="C9" t="inlineStr">
        <is>
          <t>AI 이후의 미래 어떻게 될 것인가</t>
        </is>
      </c>
      <c r="D9" t="inlineStr">
        <is>
          <t>세계 산업 전반을 뒤흔드는 AI 운영체제,
부와 권력은 어디로 향하는가
“AI는 도구가 아니라 새로운 ‘지배 시스템’이다”
AI는 아직 머나먼 미래라고 생각하는 사람들이 있다. 신기술은 늘 과장되기 마련이고, 현실화하는 데는 충분한 시간이 필요하다고 생각한다. 하지만 이런 낙관은 시대의 낙오자를 만드는 안일한 사고일 뿐이다. 인터넷이 그랬고, 스마트폰이 그랬다. 변화를 과소평가한 사람들은 늘 뒤늦게 따라붙었고, 그 사이에 기회는 이미 다른 사람들의 몫이 되었다. 지금 우리가 마주한 AI 역시 예외가 아니다. 문제는 변화의 속도가 아니라, 우리가 얼마나 빠르게 그리고 제대로 대응하느냐다.
이 책의 저자 제이슨 솅커는 AI가 불러일으키는 변화를 단순한 전망이 아니라 ‘불가피한 현실’로 다룬다. ‘블룸버그가 선정한 세계 1위 미래 전략가’라는 수식이 과장이 아닌 이유는, 데이터에 기반한 그의 분석이 실제 시장과 정책 결정의 현장에서 활용되기 때문이다. 그는 금융·에너지·고용·지정학적 리스크까지 다양한 영역에서 예측 정확도를 입증해 왔고, 미국 국방부와 중앙정보국, 글로벌 기업들을 상대로 전략 자문을 제공해 왔다. 그간의 통찰을 바탕으로 그는 미래가 실제로 어떻게 전개될지를 구체적으로 설명한다. 
AI는 특정 분야에서 쓰이는 도구가 아니라, 거의 모든 분야에서 기본 전제가 되는 인프라로 자리 잡고 있다. 전기나 인터넷이 그랬듯이, 한때는 혁신이었던 기술이 어느 순간 ‘당연한 것’이 되는 지점에 도달하는 것이다. 이 책이 주목하는 것은 바로 그 전환의 순간이다. 
AI가 경제와 산업을 움직이는 ‘보이지 않는 운영체제’가 되어 가는 과정을 짚으며, 그 전환이 개인의 커리어, 기업의 경쟁력, 국가의 전략에 어떤 영향을 미치는지를 체계적으로 풀어낸다.
특히 눈여겨볼 점은 이 책이 단순한 전망이나 가능성의 나열에 머물지 않는다는 것이다. 무엇이 바뀌는지에 대한 설명을 넘어, 그 변화 속에서 어떤 선택을 해야 하는지를 분명하게 제시한다. AI가 생산성을 어떻게 끌어올리는지, 왜 일부 직무는 빠르게 사라지고 다른 역할은 더 중요해지는지, 그리고 기업이 어떤 방향으로 전략을 수정해야 하는지를 실제 사례와 함께 보여준다. 이는 기술에 대한 이해를 넘어, 의사결정을 위한 기준을 제공한다는 점에서 다른 AI 관련 서적들과 분명히 구별된다.
이 책을 읽다 보면 자연스럽게 한 가지 질문에 이르게 된다. 
“이 변화가 분명하다면, 나는 어디에 서게 될 것인가?” 
이미 AI를 활용해 더 높은 생산성과 성과를 만들어내는 사람들과, 여전히 변화의 바깥에서 상황을 관망하는 사람들 사이의 간극은 점점 더 벌어지고 있다. 변화는 이미 시작되었다. 이 책은 그 변화의 방향을 보여주고, 어디에서 기회를 포착해야 하는지를 명확하게 짚는다. 이제 필요한 것은 더 많은 정보가 아니라, 더 빠른 이해와 더 정확한 판단이다. 그런 의미에서 이 책은 단순히 AI를 설명하는 것이 아니라, 앞으로의 삶을 어떻게 살아갈 것인지에 대한 판단 기준을 제공한다. 그리고 그 판단을 미루는 대가는 생각보다 훨씬 클 것이다.</t>
        </is>
      </c>
      <c r="E9" t="inlineStr">
        <is>
          <t>제이슨 솅커</t>
        </is>
      </c>
      <c r="F9" t="inlineStr">
        <is>
          <t>더페이지</t>
        </is>
      </c>
      <c r="G9" t="inlineStr">
        <is>
          <t>2026-05-10</t>
        </is>
      </c>
      <c r="H9" t="n">
        <v>18800</v>
      </c>
      <c r="I9" t="n">
        <v>16920</v>
      </c>
      <c r="J9" t="n">
        <v>10</v>
      </c>
      <c r="K9" t="n">
        <v>0</v>
      </c>
      <c r="L9" t="n">
        <v>141</v>
      </c>
      <c r="M9" t="n">
        <v>9.539999999999999</v>
      </c>
      <c r="N9" t="inlineStr">
        <is>
          <t>경제/경영</t>
        </is>
      </c>
      <c r="O9" t="inlineStr">
        <is>
          <t>https://contents.kyobobook.co.kr/sih/fit-in/200x0/pdt/9791194156413.jpg</t>
        </is>
      </c>
    </row>
    <row r="10">
      <c r="A10" t="inlineStr">
        <is>
          <t>S000220574443</t>
        </is>
      </c>
      <c r="B10" t="n">
        <v>9</v>
      </c>
      <c r="C10" t="inlineStr">
        <is>
          <t>바자(2026년 8월호)</t>
        </is>
      </c>
      <c r="D10" t="inlineStr">
        <is>
          <t>현대 여성의 문화와 스타일- 그 속에 담긴 영감을 담다. 『바자(BAZAAR)』는 1867년 처음 선보인 이후 151년동안 고유의 정체성을 지켜오며 아름답고 예술적인 뮤즈와 비교할 수 없는 특유의 스타일로 현대 여성들의 문화와 스타일을 제공해왔다.</t>
        </is>
      </c>
      <c r="E10" t="inlineStr">
        <is>
          <t>허스트중앙 편집부</t>
        </is>
      </c>
      <c r="F10" t="inlineStr">
        <is>
          <t>허스트중앙</t>
        </is>
      </c>
      <c r="G10" t="inlineStr">
        <is>
          <t>2026-07-23</t>
        </is>
      </c>
      <c r="H10" t="n">
        <v>7000</v>
      </c>
      <c r="I10" t="n">
        <v>6650</v>
      </c>
      <c r="J10" t="n">
        <v>5</v>
      </c>
      <c r="K10" t="n">
        <v>0</v>
      </c>
      <c r="L10" t="n">
        <v>0</v>
      </c>
      <c r="M10" t="n">
        <v>0</v>
      </c>
      <c r="N10" t="inlineStr">
        <is>
          <t>잡지</t>
        </is>
      </c>
      <c r="O10" t="inlineStr">
        <is>
          <t>https://contents.kyobobook.co.kr/sih/fit-in/200x0/pdt/3904000621784.jpg</t>
        </is>
      </c>
    </row>
    <row r="11">
      <c r="A11" t="inlineStr">
        <is>
          <t>S000220447871</t>
        </is>
      </c>
      <c r="B11" t="n">
        <v>10</v>
      </c>
      <c r="C11" t="inlineStr">
        <is>
          <t>공부 천재들의 남다른 AI 활용법</t>
        </is>
      </c>
      <c r="D11" t="inlineStr">
        <is>
          <t>요즘 교실 풍경은 생성형 AI의 출시 전과 후로 완전히 달라졌다. 학생들은 수행 평가가 시작되면 스마트폰과 태블릿 PC부터 켠다. 모르는 내용은 검색하고, 발표 자료는 캔바로 만들고, ChatGPT에게 발표 대본을 물어본다. 안타깝게도 대부분의 학생이 AI를 ‘대신 답을 찾아 주는 기계’로 사용하는 것이 현실이다. 그렇게 쓰면 숙제를 끝내도 자신의 실력은 전혀 늘지 않는다. 오히려 AI에게 공부할 기회를 빼앗기는 셈이다. 다 같이 AI를 쓰는데도 실력이 갈리는 이유다. 무엇을, 어떻게, 어디까지 써야 하는지 모르면 AI는 오히려 내 공부를 망치는 지름길이 된다.
이 책은 학교 현장에서 학생들을 직접 지도하며 검증한 중고등학생 맞춤 AI 활용법을 담았다. 수행 평가와 진로 상담, 학생부 관리와 학습 코칭을 해 온 현직 교사가 ‘지금 학생들에게 정말 필요한 전략은 무엇인가’를 고민한 끝에 찾아낸 가장 실용적이고 현실적인 로드맵이다.
PPT를 어떻게 만들어야 할지 몰라 막막해하는 학생에게는 캔바(Canva)로 발표 자료를 빠르게 구성하는 방법을 알려 주고, ChatGPT를 단순 대답 생성기가 아닌 ‘보조 교사’처럼 활용하는 질문법을 설명한다. 발표 시간마다 고개를 숙인 채 화면만 읽는 학생에게는 청중과 눈을 맞추는 기술을 알려 주고, 조별 과제의 문제를 해결하기 위한 협업 시스템까지 제안한다. 여기서 끝나지 않는다. 수행 평가 결과물을 단순 제출용 과제가 아닌 학생부와 연결하여 디지털 포트폴리오로 확장하는 방법, 유튜브 시청 기록과 SNS를 통해 자신의 진로를 찾는 단서를 발견하는 방법까지 제공한다. 수행 평가, 발표, 학생부, 진로 설계까지 하나의 흐름으로 연결되면서 ‘과제 잘하는 법’을 넘어 ‘자기만의 공부 시스템을 만드는 법’을 익힐 수 있다. 
이제 AI를 쓸지 말지를 고민하는 단계는 지났다. 중요한 것은 ‘얼마나 잘 활용하느냐’다. 제대로 활용한 AI는 단순히 답을 대신 찾아 주는 도구가 아니라, 생각의 폭과 깊이를 넓혀 주는 나만의 공부 도구가 된다. 이제 공부는 오래 앉아 있는 학생보다 디지털 도구를 똑똑하게 활용하는 학생이 앞서가는 시대가 되었다. 이 책은 그 차이를 만드는 가장 현실적인 AI 활용법을 담았다.</t>
        </is>
      </c>
      <c r="E11" t="inlineStr">
        <is>
          <t>이보미</t>
        </is>
      </c>
      <c r="F11" t="inlineStr">
        <is>
          <t>미디어숲</t>
        </is>
      </c>
      <c r="G11" t="inlineStr">
        <is>
          <t>2026-07-20</t>
        </is>
      </c>
      <c r="H11" t="n">
        <v>17800</v>
      </c>
      <c r="I11" t="n">
        <v>16020</v>
      </c>
      <c r="J11" t="n">
        <v>10</v>
      </c>
      <c r="K11" t="n">
        <v>0</v>
      </c>
      <c r="L11" t="n">
        <v>7</v>
      </c>
      <c r="M11" t="n">
        <v>10</v>
      </c>
      <c r="N11" t="inlineStr">
        <is>
          <t>청소년</t>
        </is>
      </c>
      <c r="O11" t="inlineStr">
        <is>
          <t>https://contents.kyobobook.co.kr/sih/fit-in/200x0/pdt/9791158749361.jpg</t>
        </is>
      </c>
    </row>
    <row r="12">
      <c r="A12" t="inlineStr">
        <is>
          <t>S000220500994</t>
        </is>
      </c>
      <c r="B12" t="n">
        <v>11</v>
      </c>
      <c r="C12" t="inlineStr">
        <is>
          <t>어떻게 살아낼 것인가</t>
        </is>
      </c>
      <c r="D12" t="inlineStr">
        <is>
          <t>10년에 걸친 연구, 34명의 삶, 총 2,809년의 생애 데이터로 밝혀낸
인생의 전환기를 통과하는 법
커리어의 정체, 번아웃, 은퇴, 상실…
삶의 전환기를 통과하는 모든 이들을 위한 책
20년간 아마존 경제경영 베스트셀러에 오른 《좋은 기업을 넘어 위대한 기업으로》의 저자 짐 콜린스가 신작 《어떻게 살아낼 것인가》로 돌아왔다. 세계적인 경영학자이자 비즈니스 구루인 그는 지난 30여 년간 위대한 기업과 리더의 조건을 연구하며 수많은 독자들에게 깊은 영향을 미쳐왔다. 그런 짐 콜린스가 이번에는 기업이 아닌 '인간의 삶' 자체를 연구 대상으로 삼았다. 그는 10년에 걸쳐 34명의 삶, 총 2,809년에 이르는 압도적인 생애 데이터를 추적하며 한 가지 질문에 몰두했다. 삶이 무너진 뒤, 사람은 어떻게 다시 자신을 만들어가는가.
《어떻게 살아낼 것인가》는 단순히 성공의 공식을 말하는 책이 아니다. 오히려 성공과 실패를 동시에 바라보며 누구나 삶에서 반복적으로 마주하게 되는 인생의 전환기를 어떻게 통과할 것인지를 탐구하는 인생 재건서다. 저자는 성공을 유지한 인물과 좌절 이후 다시 일어선 사람들의 생애를 깊이 분석하며, 삶의 위기 앞에서 자신을 재생시키는 공통의 원칙들을 발견해낸다.
성공했던 록 뮤지션, 명성을 잃은 공인, 목표를 달성한 운동선수와 사회운동가 등 다양한 인물들의 삶을 비교 분석하며, 인간은 어떻게 다시 삶의 방향을 찾고 새로운 의미를 만들어가는지를 보여준다. 성공 공식을 제시하는 대신, 무너진 뒤에도 다시 삶을 만들어가는 힘을 이야기한다는 점에서 기존 자기계발서와는 결이 다르다.
특히 이번 책은 짐 콜린스가 처음으로 자신의 이야기를 깊이 있게 풀어낸 책이라는 점에서도 의미가 크다. 그는 이 프로젝트를 통해 자신의 사고방식과 감정, 삶을 바라보는 태도까지 근본적으로 변화했다고 고백한다. “삶을 어떻게 만들어갈 것인가.” 이 질문에서 출발한 이 책은 결국 삶의 방향과 자기 이해에 관한 가장 본질적인 통찰로 이어진다. 오랫동안 위대한 기업의 조건을 연구해온 저자가 이제는 오래 살아남는 삶의 조건을 이야기한다는 점에서, 《어떻게 살아낼 것인가》는 짐 콜린스 사상의 새로운 전환점이자 완결편이라 할 수 있다.</t>
        </is>
      </c>
      <c r="E12" t="inlineStr">
        <is>
          <t>짐 콜린스</t>
        </is>
      </c>
      <c r="F12" t="inlineStr">
        <is>
          <t>필름(Feelm)</t>
        </is>
      </c>
      <c r="G12" t="inlineStr">
        <is>
          <t>2026-07-15</t>
        </is>
      </c>
      <c r="H12" t="n">
        <v>29800</v>
      </c>
      <c r="I12" t="n">
        <v>26820</v>
      </c>
      <c r="J12" t="n">
        <v>10</v>
      </c>
      <c r="K12" t="n">
        <v>0</v>
      </c>
      <c r="L12" t="n">
        <v>12</v>
      </c>
      <c r="M12" t="n">
        <v>10</v>
      </c>
      <c r="N12" t="inlineStr">
        <is>
          <t>자기계발</t>
        </is>
      </c>
      <c r="O12" t="inlineStr">
        <is>
          <t>https://contents.kyobobook.co.kr/sih/fit-in/200x0/pdt/9791124468272.jpg</t>
        </is>
      </c>
    </row>
    <row r="13">
      <c r="A13" t="inlineStr">
        <is>
          <t>S000220342712</t>
        </is>
      </c>
      <c r="B13" t="n">
        <v>12</v>
      </c>
      <c r="C13" t="inlineStr">
        <is>
          <t>부자들은 절대 속지 않는 돈의 함정</t>
        </is>
      </c>
      <c r="D13" t="inlineStr">
        <is>
          <t>매일 가계부를 쓰고 최저가를 검색하며 허리띠를 졸라매는데도 어쩐지 통장 잔고는 늘 제자리걸음이다. 이는 단순히 당신의 의지가 부족하거나 운이 없어서가 아니다. 우리는 흔히 돈을 아끼는 것이 곧 부로 가는 지름길이라 믿으며 살아간다. 하지만 역설적으로 그 절약에 대한 강박이 오히려 우리의 소중한 재산을 소리 없이 갉아먹는 주범이 되기도 한다. 할인쿠폰을 사용하기 위해 굳이 필요 없는 물건을 장바구니에 더 담거나, 당장의 지출을 줄이려다 미래의 더 큰 수익을 가져다줄 ‘기회’라는 자산을 놓치는 순간, 당신의 돈은 눈에 보이지 않는 미세한 균열을 일으키며 끊임없이 빠져나가게 된다. 이런 현상이 반복되는 근본적인 이유는 돈이 움직이는 세상의 원리를 읽어 내는 ‘인지의 힘’을 충분히 기르지 못했기 때문이다. 
저자는 이 책에서 우리가 벌 수 있는 돈은 결국 자신의 ‘인지 수준’에 대한 보상이라고 말한다. 우연히 큰돈을 손에 넣더라도 그 부를 담아낼 인지적 그릇이 준비되어 있지 않다면, 자산은 결국 다시 원래의 수준으로 돌아가게 된다는 것이다. 이는 단순한 재테크 기술보다 돈을 바라보는 인식과 판단력이 훨씬 중요하다는 사실을 보여 준다.
재테크의 성패는 얼마나 많이 저축하느냐보다 가치와 가격의 차이를 구분하고, 잘못된 선택에서 얼마나 빠르게 벗어날 수 있는가에 달려 있다. 예를 들어, 직장과 가까운 곳 대신 더 저렴한 외곽 지역의 집을 선택하는 것은 당장 돈을 절약하는 것처럼 보일 수 있다. 그러나 매일 출퇴근에 소비되는 시간과 에너지, 그리고 그 시간을 자기 계발이나 새로운 기회에 투자했을 때 얻을 수 있는 가능성까지 함께 고려한다면, 그것은 또 다른 형태의 손실이 될 수도 있다. 저자는 이처럼 우리가 일상에서 반복하는 경제적 판단 착오를 확률과 게임 이론, 행동경제학의 관점에서 풀어내며 독자 스스로 자신의 ‘인생 장부’를 다시 점검하도록 이끈다.
열심히 벌고 아끼는데도 왜 돈이 모이지 않는지 궁금했다면, 이 책은 그 이유를 새로운 시각으로 보여 줄 것이다. 경제학과 금융의 기본 원리를 통해 세상이 움직이는 방식을 이해하고, 그 흐름 속에서 자산을 지키고 키워 나갈 수 있는 현실적인 사고의 기준을 얻게 될 것이다.</t>
        </is>
      </c>
      <c r="E13" t="inlineStr">
        <is>
          <t>셰종보</t>
        </is>
      </c>
      <c r="F13" t="inlineStr">
        <is>
          <t>더페이지</t>
        </is>
      </c>
      <c r="G13" t="inlineStr">
        <is>
          <t>2026-07-20</t>
        </is>
      </c>
      <c r="H13" t="n">
        <v>18800</v>
      </c>
      <c r="I13" t="n">
        <v>16920</v>
      </c>
      <c r="J13" t="n">
        <v>10</v>
      </c>
      <c r="K13" t="n">
        <v>0</v>
      </c>
      <c r="L13" t="n">
        <v>3</v>
      </c>
      <c r="M13" t="n">
        <v>10</v>
      </c>
      <c r="N13" t="inlineStr">
        <is>
          <t>자기계발</t>
        </is>
      </c>
      <c r="O13" t="inlineStr">
        <is>
          <t>https://contents.kyobobook.co.kr/sih/fit-in/200x0/pdt/9791194156437.jpg</t>
        </is>
      </c>
    </row>
    <row r="14">
      <c r="A14" t="inlineStr">
        <is>
          <t>S000220119415</t>
        </is>
      </c>
      <c r="B14" t="n">
        <v>13</v>
      </c>
      <c r="C14" t="inlineStr">
        <is>
          <t>나의 첫 번째 부동산 교과서</t>
        </is>
      </c>
      <c r="D14" t="inlineStr">
        <is>
          <t>50만 베스트셀러 작가이자 드라마 원작 소설 《서울 자가에 대기업 다니는 김 부장 이야기》로 큰 사랑을 받은 송희구 저자가 전국 문화센터 강연을 매진시키며, 출간 문의가 쇄도했던 ‘부동산 강의’로 3년 만에 독자 곁을 찾아왔다. 전작과 같이 소설의 형식을 빌려와 복잡하고 어렵게만 느껴지는 부동산의 세계를 아주 쉽게 풀어 설명한 ‘스토리텔링 부동산 책’이다.
무주택자이자 부동산 초보인 주인공 ‘초보라’는 집주인으로부터 전세 만기와 동시에 월세 전환을 통보받는다. 그렇게 쫓겨나기 직전, 보라는 자신이 부동산이라는 거대한 현실 앞에서 철저한 ‘생초보’였음을 뼈저리게 깨닫는다. 집값은 대체 왜 이렇게 오르고, 또 떨어지는지, 입지와 호재는 또 무슨 뜻인지, 부족한 예산을 채워줄 대출에는 어떤 종류가 있는지, 심지어 집을 사는 방법조차 제대로 알지 못했던 보라가 부동산 전문가 ‘초고수’를 만나 본격적인 ‘부동산 과외’를 시작한다.
새하얀 도화지 같던 보라의 머릿속에 부동산의 시세 흐름, 입지 분석, 레버리지, 재개발과 재건축, 매매 계약의 조건 등 실전 부동산 지식이 차곡차곡 쌓여간다. 과연 보라는 ‘전세 만기, 월세 전환’의 거센 폭풍을 무사히 넘기고, 평생 쫓겨날 일 없는 ‘진짜 내 집’을 마련할 수 있을까?</t>
        </is>
      </c>
      <c r="E14" t="inlineStr">
        <is>
          <t>송희구</t>
        </is>
      </c>
      <c r="F14" t="inlineStr">
        <is>
          <t>서삼독</t>
        </is>
      </c>
      <c r="G14" t="inlineStr">
        <is>
          <t>2026-06-23</t>
        </is>
      </c>
      <c r="H14" t="n">
        <v>23000</v>
      </c>
      <c r="I14" t="n">
        <v>20700</v>
      </c>
      <c r="J14" t="n">
        <v>10</v>
      </c>
      <c r="K14" t="n">
        <v>0</v>
      </c>
      <c r="L14" t="n">
        <v>139</v>
      </c>
      <c r="M14" t="n">
        <v>9.869999999999999</v>
      </c>
      <c r="N14" t="inlineStr">
        <is>
          <t>경제/경영</t>
        </is>
      </c>
      <c r="O14" t="inlineStr">
        <is>
          <t>https://contents.kyobobook.co.kr/sih/fit-in/200x0/pdt/9791193904435.jpg</t>
        </is>
      </c>
    </row>
    <row r="15">
      <c r="A15" t="inlineStr">
        <is>
          <t>S000217115740</t>
        </is>
      </c>
      <c r="B15" t="n">
        <v>14</v>
      </c>
      <c r="C15" t="inlineStr">
        <is>
          <t>다크 심리학(20만 부 한정판 스페셜 에디션)</t>
        </is>
      </c>
      <c r="D15" t="inlineStr">
        <is>
          <t>‘다크 심리학’은 인간 본성의 어두운 면을 탐구하여 타인의 감정을 조종하거나 조작하는 기술을 융합한 것이다. 그런데 최근 들어 수많은 사람이 다크 심리학에 깊은 관심을 보인다. 과연 왜 그럴까? 바로 힘과 지혜, 권력과 지식을 통해 자신의 현재 삶을 바꾸고 싶은 인간의 심리가 기저에 깔려 있기 때문이다.
국내 최초 다크 심리학을 기반한 심리 기술을 담아낸 《다크 심리학》은 인간의 본성, 그 ‘어두운 프로그래밍’을 실전 기술로 해부한 책이다. 이 책에 담긴 ‘다크 심리 기술’은 우리가 실생활에서 타인을 설득(조종)하고, 갈등을 해결(조작)할 수 있는 탁월한 방법들을 정리한 것이다. 이를 통해 누구나 다양한 관계에서 만연한 심리적 조작에서 벗어날 수 있으며, 반대로 나에게 유리하게 이끄는 기술을 배울 수 있다.
사실 ‘다크 심리 기술’은 새로운 지식이 아니다. 인류의 오랜 역사 속에서 계속 반복되어 온 권력 획득과 유지의 법칙을 현대적으로 재해석한 것이다. 그런데 ‘이 기술’을 이미 다른 사람들에게 강력한 무기로 쓰는 사람들이 있다. 그러나 대다수의 사람은 아무것도 모른 채 그냥 조종당하고 있을 뿐이다. 세상의 모든 것은 설계되어 있다. 그런데 당신은 아무 설계도 없이 살아온 것이다.
이 책은 이미 조종당하고 있는 이들을 위한 ‘생존 설명서’와 같다. 이 책을 통해 ‘어둠의 구조’와 전략을 알게 된다면, 더는 ‘당하는 희생자’가 아니다. 더 나아가 필요하다면 ‘어둠의 기술’들을 창의적으로 재구성할 수도 있다. 지금, 당신이 살아남기 위해 가장 먼저 읽어야 할 책. 《다크 심리학》을 꼭 만나기를 바란다.</t>
        </is>
      </c>
      <c r="E15" t="inlineStr">
        <is>
          <t>다크 사이드 프로젝트</t>
        </is>
      </c>
      <c r="F15" t="inlineStr">
        <is>
          <t>어센딩</t>
        </is>
      </c>
      <c r="G15" t="inlineStr">
        <is>
          <t>2026-05-22</t>
        </is>
      </c>
      <c r="H15" t="n">
        <v>21900</v>
      </c>
      <c r="I15" t="n">
        <v>19710</v>
      </c>
      <c r="J15" t="n">
        <v>10</v>
      </c>
      <c r="K15" t="n">
        <v>0</v>
      </c>
      <c r="L15" t="n">
        <v>913</v>
      </c>
      <c r="M15" t="n">
        <v>9.26</v>
      </c>
      <c r="N15" t="inlineStr">
        <is>
          <t>인문</t>
        </is>
      </c>
      <c r="O15" t="inlineStr">
        <is>
          <t>https://contents.kyobobook.co.kr/sih/fit-in/200x0/pdt/9791198754080.jpg</t>
        </is>
      </c>
    </row>
    <row r="16">
      <c r="A16" t="inlineStr">
        <is>
          <t>S000220563310</t>
        </is>
      </c>
      <c r="B16" t="n">
        <v>15</v>
      </c>
      <c r="C16" t="inlineStr">
        <is>
          <t>이런 말 자주 하면 부자 될 징조입니다</t>
        </is>
      </c>
      <c r="D16" t="inlineStr">
        <is>
          <t>웅진그룹 윤석금 회장이 신간 『이런 말 자주 하면 부자 될 징조입니다』를 펴냈다. 몇 해 전 펴낸 『말의 힘』이 뜻밖에 20~30대 독자들에게 좋은 반응을 얻은 것이 이 책의 출발점이 되었다. 그가 만나는 요즘 젊은 세대가 던지는 질문은 하나였다. “어떻게 하면 돈을 많이 벌 수 있을까요?” 저자는 그 현실적인 욕망을 피하지 않고 정면으로 마주한다. 다만, 무일푼에서 시작해 대기업을 일군 그가 믿는 진실은 이것이다. 돈은 뒤쫓는 게 아니라 따라오게 만들어야 한다는 것. 당장 통장에 돈이 들어오는 이야기를 원하는 독자에게, 윤석금 회장은 자신의 인생을 관통해온 ‘돈을 끌어당기는 근본적인 방법’을 알려주기 위해 다시 펜을 들었다. 
정말 부자가 되는 사람은 무엇이 다를까. 웅진그룹 윤석금 회장은 그 답을 ‘긍정의 말’에서 찾는다. “나는 운이 좋다”, “나는 할 수 있다”, “실패해도 다시 시작하면 된다”라고 말하는 사람 곁에는 행운이 모이고, “왜 나만 이럴까”라고 말하는 사람은 스스로 앞길을 가린다.
이 책은 학자의 연구도, 어딘가에서 인용해 온 이론도 아니다. 저자가 직접 밝히듯 “50여 년 동안 내가 부딪치면서 성공하고 때로 실패했던 순간들에서 살아남은 말들”이다. 스물일곱 살에 백과사전 세일즈를 시작해 전 세계에서 브리태니커를 가장 많이 판 판매왕이 된 이야기, 100만 원짜리 정수기를 월 2만 7천 원에 빌려주는 역발상으로 ‘렌털(구독)’이라는 거대한 시장을 열어젖힌 이야기, 부도 직전의 회사를 시가총액 7조 원 기업으로 키운 이야기까지, 그 모든 성취의 밑바탕에 ‘긍정의 말’이 있었다.</t>
        </is>
      </c>
      <c r="E16" t="inlineStr">
        <is>
          <t>윤석금</t>
        </is>
      </c>
      <c r="F16" t="inlineStr">
        <is>
          <t>리더스북</t>
        </is>
      </c>
      <c r="G16" t="inlineStr">
        <is>
          <t>2026-07-20</t>
        </is>
      </c>
      <c r="H16" t="n">
        <v>18500</v>
      </c>
      <c r="I16" t="n">
        <v>16650</v>
      </c>
      <c r="J16" t="n">
        <v>10</v>
      </c>
      <c r="K16" t="n">
        <v>0</v>
      </c>
      <c r="L16" t="n">
        <v>8</v>
      </c>
      <c r="M16" t="n">
        <v>10</v>
      </c>
      <c r="N16" t="inlineStr">
        <is>
          <t>자기계발</t>
        </is>
      </c>
      <c r="O16" t="inlineStr">
        <is>
          <t>https://contents.kyobobook.co.kr/sih/fit-in/200x0/pdt/9788901300191.jpg</t>
        </is>
      </c>
    </row>
    <row r="17">
      <c r="A17" t="inlineStr">
        <is>
          <t>S000211748790</t>
        </is>
      </c>
      <c r="B17" t="n">
        <v>16</v>
      </c>
      <c r="C17" t="inlineStr">
        <is>
          <t>수족관</t>
        </is>
      </c>
      <c r="D17" t="inlineStr">
        <is>
          <t>소설 ‘수족관’은 보육 시설에서 자라난 인물 ‘류이치’가, 먼저 보육 시설에서 도망쳐나온 인물 ‘아카리’를 만나 겪게 되는 일들을 그려낸다. 
이 두 인물은 자신들이 가진 뿌리 깊은 과거와 상처, 그 이야기가 만들어낸 수족관에서 만나 입을 맞추고, 서로의 숨을 훔쳐가면서도 언젠가 오키나와의 너른 바다에 도착하는 꿈을 나눈다. 
이 둘은 수족관을 벗어나 눈부신 햇살 아래 들려오는 파도 소리를 들을 수 있을까.</t>
        </is>
      </c>
      <c r="E17" t="inlineStr">
        <is>
          <t>유래혁</t>
        </is>
      </c>
      <c r="F17" t="inlineStr">
        <is>
          <t>포스터샵</t>
        </is>
      </c>
      <c r="G17" t="inlineStr">
        <is>
          <t>2024-01-11</t>
        </is>
      </c>
      <c r="H17" t="n">
        <v>17700</v>
      </c>
      <c r="I17" t="n">
        <v>15930</v>
      </c>
      <c r="J17" t="n">
        <v>10</v>
      </c>
      <c r="K17" t="n">
        <v>0</v>
      </c>
      <c r="L17" t="n">
        <v>108</v>
      </c>
      <c r="M17" t="n">
        <v>9.41</v>
      </c>
      <c r="N17" t="inlineStr">
        <is>
          <t>소설</t>
        </is>
      </c>
      <c r="O17" t="inlineStr">
        <is>
          <t>https://contents.kyobobook.co.kr/sih/fit-in/200x0/pdt/9791198547514.jpg</t>
        </is>
      </c>
    </row>
    <row r="18">
      <c r="A18" t="inlineStr">
        <is>
          <t>S000220279880</t>
        </is>
      </c>
      <c r="B18" t="n">
        <v>17</v>
      </c>
      <c r="C18" t="inlineStr">
        <is>
          <t>사람 보는 눈이 없는 당신에게</t>
        </is>
      </c>
      <c r="D18" t="inlineStr">
        <is>
          <t>“누구와 함께할 것인가”
애착 · 성격 · 투사 · 행동 신호로
관계가 어려워지는 심리를 짚고, 
더 이상 상처받지 않기 위한 ‘나와 맞는 사람’ 찾는 법
100만 팔로워와 누적 조회 수 1억 회를 돌파한
심리 콘텐츠 크리에이터 ‘과즙너구리’의 기대작!
사람을 대하는 일은 언제나 어렵지만, 특히 ‘좋은 사람’인 줄 알았던 이에게 전혀 예상치 못한 상처를 입었을 때의 충격은 단순히 감정의 문제를 넘어 삶을 뿌리째 흔들곤 한다. 우리는 흔히 이런 일을 겪을 때 자신의 운을 탓하거나 사람 보는 눈이 없음을 자책하곤 한다. 하지만 인간관계에서 반복되는 실패는 당신의 인격이나 운의 문제가 아니다. 인간의 심리적 기제를 파악하는 ‘안목’이라는 기술을 배우지 못한 결과에 가깝다. 이러한 관계의 악순환을 끊어내려면 막연한 조언이 아니라 상대를 선명하게 들여다볼 수 있는 고해상도의 렌즈가 필요하다. 그리고 바로 그 렌즈를 제공하는 이가 중국 최고의 지식 공유 플랫폼에서 수백만 독자의 인간관계를 상담해 온 실전 심리전문가 궈즈리다.
그녀가 수천 시간의 상담과 방대한 데이터 속에서 길어 올린 결론은 분명하다. 우리가 누군가를 오해하고 상처받는 이유는, 겉모습 뒤에 숨겨진 그 사람의 심리적 설계도를 읽지 못했기 때문이다. 이 책은 이 복잡한 인간관계의 메커니즘을 애착 이론과 성격 분석, 그리고 투사 심리학을 결합한 5단계 사람 읽는 공식으로 알려준다. 애착 유형을 통해 관계의 출발점에서 이미 나타나는 차이를 읽고, 성격 구조를 통해 반복되는 행동의 방향을 파악하며, 투사라는 개념을 통해 상대가 드러내는 감정이 무엇을 의미하는지 해석한다. 여기에 더해 눈동자나 몸짓 같은 비언어적 신호를 통해 말로 설명되지 않는 부분까지 읽어낼 수 있도록 돕는다. 상대를 읽고 이해하는 안목이 생기면 자연스레 곁에 둘 사람과 거리를 두어야 할 사람을 가려내는 선별의 기준이 서고, 이는 곧 타인의 기분에 휩쓸리지 않고 자신의 일상을 온전히 지켜내는 힘으로 이어진다. 
이 책은 50건 이상의 실제 사례와 10가지 이상의 자기 평가 도구를 담아, 모호한 이론이 아닌 삶에 바로 적용할 수 있는 구체적인 방법을 제시한다. 사람의 마음을 이해하는 일은 생각보다 어렵지 않다. 중요한 것은, 그 마음에 다가가는 올바른 방법을 아는 것이다. 사람에게 상처받지 않는 길은 그 사람의 실체를 정확히 읽어내고, 내가 감당할 수 있는 만큼의 경계를 분명히 세우는 안목을 갖추는 데 있다. 이 책은 그 단순하지만 단단한 원칙을 전한다. 이제 자책을 멈추고 이 정교한 심리 공식을 손에 쥔다면, 관계 갈등으로 더 이상 상처받는 사람이 아니라 관계의 흐름을 읽는 관찰자로서 흔들림 없이 삶을 지켜낼 수 있을 것이다.</t>
        </is>
      </c>
      <c r="E18" t="inlineStr">
        <is>
          <t>궈즈리</t>
        </is>
      </c>
      <c r="F18" t="inlineStr">
        <is>
          <t>지니의서재</t>
        </is>
      </c>
      <c r="G18" t="inlineStr">
        <is>
          <t>2026-07-10</t>
        </is>
      </c>
      <c r="H18" t="n">
        <v>18800</v>
      </c>
      <c r="I18" t="n">
        <v>16920</v>
      </c>
      <c r="J18" t="n">
        <v>10</v>
      </c>
      <c r="K18" t="n">
        <v>0</v>
      </c>
      <c r="L18" t="n">
        <v>6</v>
      </c>
      <c r="M18" t="n">
        <v>10</v>
      </c>
      <c r="N18" t="inlineStr">
        <is>
          <t>자기계발</t>
        </is>
      </c>
      <c r="O18" t="inlineStr">
        <is>
          <t>https://contents.kyobobook.co.kr/sih/fit-in/200x0/pdt/9791194620365.jpg</t>
        </is>
      </c>
    </row>
    <row r="19">
      <c r="A19" t="inlineStr">
        <is>
          <t>S000220573912</t>
        </is>
      </c>
      <c r="B19" t="n">
        <v>18</v>
      </c>
      <c r="C19" t="inlineStr">
        <is>
          <t>황천의 츠가이: 봉 11(특별판)</t>
        </is>
      </c>
      <c r="D19" t="inlineStr"/>
      <c r="E19" t="inlineStr">
        <is>
          <t>Hiromu Arakawa</t>
        </is>
      </c>
      <c r="F19" t="inlineStr">
        <is>
          <t>대원씨아이</t>
        </is>
      </c>
      <c r="G19" t="inlineStr">
        <is>
          <t>2026-07-31</t>
        </is>
      </c>
      <c r="H19" t="n">
        <v>28500</v>
      </c>
      <c r="I19" t="n">
        <v>25650</v>
      </c>
      <c r="J19" t="n">
        <v>10</v>
      </c>
      <c r="K19" t="n">
        <v>0</v>
      </c>
      <c r="L19" t="n">
        <v>0</v>
      </c>
      <c r="M19" t="n">
        <v>0</v>
      </c>
      <c r="N19" t="inlineStr">
        <is>
          <t>만화</t>
        </is>
      </c>
      <c r="O19" t="inlineStr">
        <is>
          <t>https://contents.kyobobook.co.kr/sih/fit-in/200x0/pdt/9791142358784.jpg</t>
        </is>
      </c>
    </row>
    <row r="20">
      <c r="A20" t="inlineStr">
        <is>
          <t>S000220273403</t>
        </is>
      </c>
      <c r="B20" t="n">
        <v>19</v>
      </c>
      <c r="C20" t="inlineStr">
        <is>
          <t>공부가 즐겁다는 공자의 말을 믿어도 될까</t>
        </is>
      </c>
      <c r="D20" t="inlineStr">
        <is>
          <t>공부와 인간관계 등으로 인해 급속도로 고민이 많아지는 청소년기. 하지만 자아 성장에 있어 그 어느 때보다 중요한 이 시기에 사회는 빠르게 변화하고 있고 친구도, 부모도, 선생님도 청소년의 고민에 시원하게 대답해 주지 않는다. 그럴 때 『논어』야 말로 최고의 동반자가 되어 줄 수 있다. ‘내가 어떤 성격의 사람인지, 다른 사람들은 어떤 생각을 하며 사는지, 이 세상은 어떻게 돌아가는지’ 잘 이해할 수 있게 하는 책이기 때문이다. 
『논어』는 ‘말을 편집했다’는 뜻을 지니고 있다. 공자와 그 제자들의 대화와 삶을 대하는 자세, 태도를 편집하고 기록한 책이기 때문이다. 그런데 왜 21세기를 살아가는 우리가 2천5백 년 전 이들의 대화를 주목해야 할까? 이 질문에 답하기 위해, 베스트셀러 작가인 판덩은 청소년의 눈높이에 맞춰서 공자의 삶과 지혜를 흥미롭게 풀어낸 책 『공부가 즐겁다는 공자의 말을 믿어도 될까』를 집필했다.
『논어』는 2천5백 년 전에 쓰였지만, 현재도 우리 삶에 많은 가르침을 주고 있다. 특히 『논어』에는 학습에 대한 심오하고도 진지한 고민이 엿보인다. 늘 무언가를 고민하고, 하루를 복기하며, 더 나은 내일을 위해 배우려는 공자의 자세는 AI와 양자 혁명 등 빠르게 변화하는 시대를 살아가는 현대인이 반드시 갖춰야 할 태도이다. 그런데 이는 단순히 인생 공부에만 국한되는 것이 아니다. 하루하루 학습에 매진해야 하는 청소년에게도 해당하는 태도이다. ‘공부’는 단순하고 얄팍하게 참고서나 문제집만 풀이하고 이해하는 것이 아니라, 진짜 우리의 삶과 연결성을 지녀야 한다. 실생활에 적용할 수 있는 학문이야말로 ‘살아 있는’ 학문인 것이다. 
따라서 이 책 『공부가 즐겁다는 공자의 말을 믿어도 될까』의 핵심 내용은 ‘배움’이다. 하지만 여기서 배움은 단순히 책을 읽고 읊는 배움이 아니라 공부나 친구 관계, 인격이나 일상 모든 것에 대한 배움이다. 이것이야말로 공자가 강조했던 ‘일이관지(一以貫之)’, 즉 한 가지 이치로 모든 일을 꿰뚫어 본다는 진리를 구현하게 하는 것이다. 따라서 이 책은 친구 관계로 일상생활을, 일상생활로 사람의 성격을, 개인의 성격과 인격으로 삶을 통찰하게 돕는다. 흔들리는 청소년 시기에 무엇을 기준으로 세상을 살아가고 어떤 의미를 찾아 행복한 삶을 만들어 가야 할지, 그 길을 제시한다.</t>
        </is>
      </c>
      <c r="E20" t="inlineStr">
        <is>
          <t>판덩</t>
        </is>
      </c>
      <c r="F20" t="inlineStr">
        <is>
          <t>이든서재</t>
        </is>
      </c>
      <c r="G20" t="inlineStr">
        <is>
          <t>2026-07-10</t>
        </is>
      </c>
      <c r="H20" t="n">
        <v>18500</v>
      </c>
      <c r="I20" t="n">
        <v>16650</v>
      </c>
      <c r="J20" t="n">
        <v>10</v>
      </c>
      <c r="K20" t="n">
        <v>0</v>
      </c>
      <c r="L20" t="n">
        <v>6</v>
      </c>
      <c r="M20" t="n">
        <v>10</v>
      </c>
      <c r="N20" t="inlineStr">
        <is>
          <t>청소년</t>
        </is>
      </c>
      <c r="O20" t="inlineStr">
        <is>
          <t>https://contents.kyobobook.co.kr/sih/fit-in/200x0/pdt/9791194812258.jpg</t>
        </is>
      </c>
    </row>
    <row r="21">
      <c r="A21" t="inlineStr">
        <is>
          <t>S000220340903</t>
        </is>
      </c>
      <c r="B21" t="n">
        <v>20</v>
      </c>
      <c r="C21" t="inlineStr">
        <is>
          <t>코스모스(100만부 기념판)</t>
        </is>
      </c>
      <c r="D21" t="inlineStr">
        <is>
          <t>칼 세이건(Carl Sagan)의 「코스모스(Cosmos)」가 2026년 4월 말일 기준으로 누적 판매 부수 100만 부를 돌파했다. 2004년 고(故) 홍승수 서울대 천문학과 교수의 번역으로 양장본의 완전판이 출간된 지 22년 만에, 그리고 2006년 칼 세이건 서거 10주기를 기념해 특별판이 출간된 지 20년 만에 금자탑을 세운 것이다. 720쪽이 넘는 방대한 분량의 벽돌책이 밀리언셀러를 기록한 것은 대한민국 출판 역사상 아주 드문 사건이다. 
「코스모스」 100만 부 돌파는 여러 판본의 판매를 합산한 것이다. 이 부수는 먼저 1980년에 출간된 원서의 도판을 빠짐없이 오롯이 실은, 2004년 12월 20일에 출간된 「사이언스 클래식」 4권 양장본 완전판 11만 5000부, 그다음 2006년 12월 20일에 「칼 세이건 서거 10기 특별판」으로 출간된 반양장본 보급판 87만 6000부, 그리고 전자책 3만 8000부와 진중문고판 1만 3000부 등으로 이루어져 있다. 반양장본에서 고급 양장본까지, 전자책에서 군납 도서까지 다양한 판본과 다양한 가격대로 출간된 이 책이 밀리언셀러의 고지를 밟았다는 것은 우리 사회의 과학 교양, 또는 소양이 특정 계층, 특정 연령대에 한정되어 있지 않고 종합적으로 성숙했음을 보여 주는 기념비적인 지표라고 볼 수 있다. 
특히 일론 머스크 등 칼 세이건의 책과 다큐멘터리를 보고 자란 ‘코스모스 세대’가 새로운 우주 개척의 시대에 나서고 있는 지금, 「코스모스」는 다시금 주목을 받고 있다. 2020년 앤 드루얀이 「코스모스」의 정식 후속작이라고 할 「코스모스: 가능한 세계들(Cosmos: Possible Worlds)」을 출간하고, 동명의 다큐멘터리가 내셔널 지오그래픽 채널과 디즈니플러스 OTT 서비스로 전 세계 172개국에서 방영되어 칼 세이건의 「코스모스」의 정신이 죽지 않았음을 입증했다. (이 책의 한국어판은 누적 5만 3000부 판매되었다.) 
또한 유튜브를 비롯한 뉴미디어 플랫폼에서도 수많은 과학 교양 채널과 도서 소개 프로그램에서 가치가 재조명되고 있다. 스타 과학자들과 인플루언서 북튜버 들에 의해 “인간으로서의 존엄과 지적 교양을 갖추기 위해 반드시 통과해야 할 관문”, 혹은 “교양인이라면 죽기 전에 꼭 넘어야 할 산”, 혹은 “우주 앞에서 인간이 얼마나 겸손하면서도 존엄한 존재인지 깨닫게 하는 책” 등의 말로 적극 추천받고 있고, AI 시대 도래 이후 넘치는 AI 생성 텍스트에 지친 20, 30대 독자들에 의해 폭발적으로 재발견되고 있다. 그 결과인지 2025년 동기 대비 판매 부수가 25퍼센트 이상 증가하고 있다.
㈜사이언스북스에서는 이번 「코스모스」 누적 판매 부수 100만 부 돌파를 기념해 표지를 교체한 리커버판 「코스모스: 100만 부 기념판」을 출간한다. 기존에 출간되던 반양장본의 표지를 1980년 칼 세이건의 다큐멘터리가 방영되던 당시 미국에서 출간되었던 랜덤하우스 출간 초판본의 표지로 교체한 것인데, 앞표지의 그림은 「코스모스」의 책과 다큐멘터리 곳곳을 장식하고 있는 천문 우주 일러스트레이션의 대가 아돌프 샬러(Adolf Schaller, 1956∼2024년)의 작품이고, 뒤표지의 사진은 다큐멘터리 출연 당시 칼 세이건의 사진이다. 본문 내용은 기존의 반양장본 특별판과 다름이 없지만, 이 원서 초판본 표지를 기억하는 눈 밝은 독자나, 아돌프 샬러가 그린 그림이 1980년 당시 인류가 상상할 수 있었던 가장 먼 천체 중 하나인 구상 성단의 퀘이사를 그린 것임을 알아채는 과학 소양 풍부한 독자라면 이 「코스모스: 100만 부 기념판」의 소장 가치와 추천 가치를 알아볼 것이다.
이 책은 2026년 6월 24일부터 개최되는 2026 서울 국제 도서전에서 서점보다 먼저 최초 공개, 판매된다. 올해 창립 60주년을 맞이한 민음사 출판 그룹의 부스에 마련된 ㈜사이언스북스 코너에서 이 책을 가장 먼저 만나 볼 수 있으며, ㈜사이언스북스 코너를 찾아 주는 독자들을 위해 매일 선착순 100명을 대상으로 이 기념판의 표지를 활용한 엘홀더를 증정한다. 공식적인 서점 판매는 주요 서점별 굿즈 이벤트와 함께 이번 달 말일부터 이루어질 예정이다.
그리고 올해는 칼 세이건의 서거 30주기이기도 하다. 이에 ㈜사이언스북스에서는 다채로운 출판 기획을 준비 중에 있다. 자세한 정보는 추후 공개할 예정이다.</t>
        </is>
      </c>
      <c r="E21" t="inlineStr">
        <is>
          <t>칼 세이건</t>
        </is>
      </c>
      <c r="F21" t="inlineStr">
        <is>
          <t>사이언스북스</t>
        </is>
      </c>
      <c r="G21" t="inlineStr">
        <is>
          <t>2026-06-30</t>
        </is>
      </c>
      <c r="H21" t="n">
        <v>22000</v>
      </c>
      <c r="I21" t="n">
        <v>19800</v>
      </c>
      <c r="J21" t="n">
        <v>10</v>
      </c>
      <c r="K21" t="n">
        <v>0</v>
      </c>
      <c r="L21" t="n">
        <v>31</v>
      </c>
      <c r="M21" t="n">
        <v>10</v>
      </c>
      <c r="N21" t="inlineStr">
        <is>
          <t>과학</t>
        </is>
      </c>
      <c r="O21" t="inlineStr">
        <is>
          <t>https://contents.kyobobook.co.kr/sih/fit-in/200x0/pdt/9791124336083.jpg</t>
        </is>
      </c>
    </row>
    <row r="22">
      <c r="A22" t="inlineStr">
        <is>
          <t>S000219813471</t>
        </is>
      </c>
      <c r="B22" t="n">
        <v>21</v>
      </c>
      <c r="C22" t="inlineStr">
        <is>
          <t>완자 고등 물질과 에너지(2026)</t>
        </is>
      </c>
      <c r="D22" t="inlineStr">
        <is>
          <t>- 2022개정 교육과정의 4종 교과서를 완벽 분석하여 물질과 에너지의 핵심 개념을 쉽고 체계적으로 정리하였습니다. 
- 혼자서도 교과 개념을 익히고 내신 시험을 준비할 수 있는 ‘완벽한 자율 학습서’입니다.
- 고난도 문제로 내신 1등급에 도전할 수 있습니다.</t>
        </is>
      </c>
      <c r="E22" t="inlineStr">
        <is>
          <t>이성학 외</t>
        </is>
      </c>
      <c r="F22" t="inlineStr">
        <is>
          <t>비상교육</t>
        </is>
      </c>
      <c r="G22" t="inlineStr">
        <is>
          <t>2026-05-01</t>
        </is>
      </c>
      <c r="H22" t="n">
        <v>20000</v>
      </c>
      <c r="I22" t="n">
        <v>18000</v>
      </c>
      <c r="J22" t="n">
        <v>10</v>
      </c>
      <c r="K22" t="n">
        <v>0</v>
      </c>
      <c r="L22" t="n">
        <v>32</v>
      </c>
      <c r="M22" t="n">
        <v>9.6</v>
      </c>
      <c r="N22" t="inlineStr">
        <is>
          <t>중/고등참고서</t>
        </is>
      </c>
      <c r="O22" t="inlineStr">
        <is>
          <t>https://contents.kyobobook.co.kr/sih/fit-in/200x0/pdt/9791173167980.jpg</t>
        </is>
      </c>
    </row>
    <row r="23">
      <c r="A23" t="inlineStr">
        <is>
          <t>S000218781780</t>
        </is>
      </c>
      <c r="B23" t="n">
        <v>22</v>
      </c>
      <c r="C23" t="inlineStr">
        <is>
          <t>2026 큰별쌤 최태성의 별별한국사 기출 500제 한국사능력검정시험 심화(1,2,3급)</t>
        </is>
      </c>
      <c r="D23" t="inlineStr">
        <is>
          <t>〈2026 큰별쌤 최태성의 별별한국사 기출 500제 한국사능력검정시험 심화(1,2,3급)〉는 2025년 76회 시험부터 2023년 67회 시험까지 최신 기출문제 10회분, 총 500문항으로 구성되었습니다. '기출 BOOK'은 실제 시험지를 그대로 구현하여 실전과 같은 문제풀이가 가능하며, '해설 BOOK'은 모든 선택지의 자세한 해설뿐만 아니라 기출 선택지와 핵심 내용도 수록하여 중요 개념을 반복적으로 학습할 수 있어 한 권으로 기출문제 풀이뿐만 아니라 개념까지 다질 수 있습니다.
▣ 제시된 이미지는 책의 뒤표지입니다. 
〈2026 큰별쌤 최태성의 별별한국사 기출 500제 한국사능력검정시험 심화(1,2,3급)〉의 앞표지는 1억원 기부를 통해 사랑의 열매 '아너 소사이어티'에 가입되도록 함께 지원해 주신 최태성 1, 2TV 별님들로 구성되었습니다.</t>
        </is>
      </c>
      <c r="E23" t="inlineStr">
        <is>
          <t>최태성</t>
        </is>
      </c>
      <c r="F23" t="inlineStr">
        <is>
          <t>이투스북</t>
        </is>
      </c>
      <c r="G23" t="inlineStr">
        <is>
          <t>2025-12-16</t>
        </is>
      </c>
      <c r="H23" t="n">
        <v>22000</v>
      </c>
      <c r="I23" t="n">
        <v>19800</v>
      </c>
      <c r="J23" t="n">
        <v>10</v>
      </c>
      <c r="K23" t="n">
        <v>0</v>
      </c>
      <c r="L23" t="n">
        <v>249</v>
      </c>
      <c r="M23" t="n">
        <v>9.949999999999999</v>
      </c>
      <c r="N23" t="inlineStr">
        <is>
          <t>인문</t>
        </is>
      </c>
      <c r="O23" t="inlineStr">
        <is>
          <t>https://contents.kyobobook.co.kr/sih/fit-in/200x0/pdt/9791138934459.jpg</t>
        </is>
      </c>
    </row>
    <row r="24">
      <c r="A24" t="inlineStr">
        <is>
          <t>S000216796615</t>
        </is>
      </c>
      <c r="B24" t="n">
        <v>23</v>
      </c>
      <c r="C24" t="inlineStr">
        <is>
          <t>안녕이라 그랬어(집에디션 리커버)</t>
        </is>
      </c>
      <c r="D24" t="inlineStr">
        <is>
          <t>소설가 김애란이 『바깥은 여름』(문학동네, 2017) 이후 팔 년 만에 새 소설집으로 돌아왔다. “사회적 공간 속을 떠다니는 감정의 입자를 포착하고 그것에 명료한 표현을 부여하는 특유의 능력을 예리하게 발휘한 소설”이라는 평과 함께 2022 김승옥문학상 우수상을 수상한 「홈 파티」와 2022 오영수문학상 수상작인 「좋은 이웃」을 비롯해 총 일곱 편의 단편이 수록된 『안녕이라 그랬어』는 강력한 정서적 호소력과 딜레마적 물음으로 한 세계를 중층적으로 쌓아올리는 특장이 여전히 발휘되는 가운데, 이전보다 조금은 서늘하고 비정해진 김애란을 만날 수 있다. 
이번 소설집의 주인공은 ‘공간’이라고도 할 수 있다. “많은 희곡 속 사건은 ‘초대’와 ‘방문’, ‘침입’과 ‘도주’로 시작됐다”(「홈 파티」, 42쪽)라는 소설 속 표현처럼, 이번 책에서는 인물들이 누군가의 공간을 방문하면서 이야기가 펼쳐진다. 그곳은 집주인의 미감과 여유를 짐작하게 하는 우아하고 안정적인 공간이거나(「홈 파티」), 값싼 물가와 저렴한 체류 비용 덕분에 한 달 여행이라는 “생애 처음으로 누리는 사치”를 가능하게 하는 해외의 단독주택이다(「숲속 작은 집」). 또는 정성스레 가꾸고 사용해왔지만 이제는 새 집주인을 위해 이사 준비를 해야 하는 전셋집이거나(「좋은 이웃」), 회사를 관두고 그간 모은 돈을 전부 털어 문을 연 책방이기도 하다(「레몬케이크」). 『안녕이라 그랬어』에서 공간이 중요한 이유는 그곳이 단순히 이야기의 배경으로 기능하는 게 아니라 인물들의 삶 그 자체와 같기 때문이다. 특히 우리 사회에서 ‘방 한 칸’이 가지는 의미를 남다른 통찰력으로 묘사해온 바 있는 김애란에게 어떤 공간은 누군가의 경제적, 사회적 지표를 가늠하게 하는 장소이자 한 사람의 내력이 고스란히 담긴 총체적이고 복합적인 장소이다. 때문에 이번 소설집에서 공간을 둘러싸고 벌어지는 갈등은 서로의 삶의 기준이 맞부딪치는 일이라고 할 수 있다. 다른 사람의 공간으로 들어가는 것은, 달리 말하면 나로 살아온 삶의 테두리를 벗어나는 사건인 것이다. 
김애란은 「홈 파티」에서 다음과 같이 질문한다. “한 사람이 다른 사람의 자리에 서보는 건 얼마나 어려운 일인가?”(24쪽) 타인의 공간을 방문하는 일은 다른 사람을 이해하는 확장의 길이 될까, 아니면 서로의 기준을 꺾어 누르는 침입의 길이 될까. 어느 때보다 ‘나’라는 테두리를 벗어나 ‘우리’로 나아가기 어려운 현실 속에서, 눈앞의 풍경과 나와 관계 맺는 사람이 돈으로 치환 가능한 숫자가 되어가는 현실 속에서 김애란의 질문은 더욱 절실하게 다가온다. 그리고 그 질문은 이렇게 바꿔 물을 수 있다. 공통의 포기와 낙담을 경험하고 다시금 새로운 출발선이 펼쳐졌을 때, 과연 그전과 무엇이 달라졌고 무엇이 지켜졌느냐고. 또는 무엇이 달라지고 무엇이 지켜져야만 하느냐고. 그것은 바로 누군가에게 안녕과 평안을 묻는 일이 더없이 간절해진 지금 우리에게 필요한 김애란식의 인사일 것이다.</t>
        </is>
      </c>
      <c r="E24" t="inlineStr">
        <is>
          <t>김애란</t>
        </is>
      </c>
      <c r="F24" t="inlineStr">
        <is>
          <t>문학동네</t>
        </is>
      </c>
      <c r="G24" t="inlineStr">
        <is>
          <t>2025-06-20</t>
        </is>
      </c>
      <c r="H24" t="n">
        <v>16800</v>
      </c>
      <c r="I24" t="n">
        <v>15120</v>
      </c>
      <c r="J24" t="n">
        <v>10</v>
      </c>
      <c r="K24" t="n">
        <v>0</v>
      </c>
      <c r="L24" t="n">
        <v>1064</v>
      </c>
      <c r="M24" t="n">
        <v>9.699999999999999</v>
      </c>
      <c r="N24" t="inlineStr">
        <is>
          <t>소설</t>
        </is>
      </c>
      <c r="O24" t="inlineStr">
        <is>
          <t>https://contents.kyobobook.co.kr/sih/fit-in/200x0/pdt/9791141602376.jpg</t>
        </is>
      </c>
    </row>
    <row r="25">
      <c r="A25" t="inlineStr">
        <is>
          <t>S000218278239</t>
        </is>
      </c>
      <c r="B25" t="n">
        <v>24</v>
      </c>
      <c r="C25" t="inlineStr">
        <is>
          <t>니체의 초월자</t>
        </is>
      </c>
      <c r="D25" t="inlineStr">
        <is>
          <t>〈니체의 초월자〉는 유튜브 철학하루를 운영하고 있는 김철 작가의 두 번째 인문 책이다. 니체 철학의 주요 사상은 초월자가 되는 것이다. 초월자라는 것은 신이 되거나 남보다 특별한 존재가 되라는 뜻이 아니다. 내가 옳다고 믿는 길을 스스로 선택하는 삶을 뜻한다. 자신에게 주어진 고통을 초월하고 운명을 사랑하며 자신의 나태함, 게으름, 인간의 본성과 투쟁하여 끊임없이 더 나은 존재로 발전하는 사람을 뜻한다. 모두가 똑같은 방향을 바라보는 세상에서 다르게 생각한다는 건 용기가 필요한 일이 되어버렸다. 외로움을 견디지 못해 방황하는 사람은 늘어나고 있으며 수없이 많은 고통 앞에서 좌절하는 사람 또한 시대가 편리해짐에 따라 오히려 더 늘어나고 있다.
그런 현대인에게 니체는 묻는다. 당신은 당신 자신이 되었는가? 다양한 인간관계를 맺고 살아가지만 결국 끝까지 함께해야 할 사람은 나 자신이다. 세상이 아무리 흔들려도 내가 중심이 잡혀 있으면 흔들리지 않는다. 세상이 아무리 외롭고 고독해져도 내가 내 안에서 충만하다면 흔들리지 않는다. 세상의 기준이 흔들리고 복잡할수록 세워야 하는 것은 나만의 기준이다.
이 책은 철학을 해석하지 않는다. 대신, 지금의 세상을 견디며 나답게 살아가기 위한 니체식 사고법을 보여준다. 니체의 수많은 저서 중 현대인에게 도움이 될만한 이야기를 엄선하여 77편을 편역하였다. 남이 정한 정답이 아닌 스스로의 기준으로 살아가는 인간, 그것이 이 시대의 초월자다. 넘어져도 다시 일어나라. 타인이 세워놓은 가치를 따르지 말고 내 안의 별을 따르라. 나에게 준 운명을 부정하지 마라. 삶은 사랑할 수 없는 것까지 사랑하는 것이다.</t>
        </is>
      </c>
      <c r="E25" t="inlineStr">
        <is>
          <t>프리드리히 니체</t>
        </is>
      </c>
      <c r="F25" t="inlineStr">
        <is>
          <t>히읏</t>
        </is>
      </c>
      <c r="G25" t="inlineStr">
        <is>
          <t>2025-10-28</t>
        </is>
      </c>
      <c r="H25" t="n">
        <v>16900</v>
      </c>
      <c r="I25" t="n">
        <v>15210</v>
      </c>
      <c r="J25" t="n">
        <v>10</v>
      </c>
      <c r="K25" t="n">
        <v>0</v>
      </c>
      <c r="L25" t="n">
        <v>271</v>
      </c>
      <c r="M25" t="n">
        <v>9.800000000000001</v>
      </c>
      <c r="N25" t="inlineStr">
        <is>
          <t>인문</t>
        </is>
      </c>
      <c r="O25" t="inlineStr">
        <is>
          <t>https://contents.kyobobook.co.kr/sih/fit-in/200x0/pdt/9791192559100.jpg</t>
        </is>
      </c>
    </row>
    <row r="26">
      <c r="A26" t="inlineStr">
        <is>
          <t>S000220351981</t>
        </is>
      </c>
      <c r="B26" t="n">
        <v>25</v>
      </c>
      <c r="C26" t="inlineStr">
        <is>
          <t>말문이 막힐 때 꺼내 쓰는 대화의 기술</t>
        </is>
      </c>
      <c r="D26" t="inlineStr">
        <is>
          <t>결국 통하는 말은 따로 있다
수많은 기업이 먼저 찾는 커뮤니케이션 전문가,
그녀가 밝혀낸 관계를 움직이는 대화의 원칙
말을 잘하는 사람은 어떻게 사람들의 마음을 사로잡을까? 그 비결은 단순히 유창함이나 논리적인 설명 능력에 있는 걸까? 이 책의 저자는 오랜 현장 경험을 통해 뛰어난 소통의 핵심은 화려한 화술이 아니라 상대를 이해하고 공감하는 태도에 있다고 말한다.
저자는 교육심리학을 바탕으로 기업 커뮤니케이션 교육과 조직 컨설팅을 수행해 온 전문 트레이너다. 바이두, 레노버를 비롯한 300개 이상의 기업에서 1만 명이 넘는 직장인을 대상으로 소통 교육을 진행했으며, 실제 업무 현장에서 검증된 다양한 커뮤니케이션 기법을 체계적으로 정리해 왔다. 특히 바이두의 고객 응대 및 영업 조직 교육에 참여하며 구축한 소통 훈련 체계는 높은 평가를 받았고, 이후 여러 기업으로 확산되어 적용되었다.
이 책에는 상대와 빠르게 신뢰를 쌓는 방법, 성향에 따라 다르게 접근하는 대화 전략, 오해를 줄이면서 정확하게 전달하는 표현법, 감정을 조절하며 소통하는 방법 등 실생활에 바로 활용할 수 있는 다양한 노하우가 담겨 있다. 또한 실제 사례와 상황별 예시를 통해 누구나 쉽게 이해할 수 있도록 구성했으며, 단원마다 스스로 연습해 볼 수 있는 실전 훈련법도 수록했다.
통하는 말은 단순히 관계를 부드럽게 만드는 데 그치지 않는다. 때로는 새로운 기회를 만들고, 예상치 못한 인연을 연결하며, 인생의 방향까지 바꾸기도 한다. 인간관계가 어렵게 느껴지는 사람, 직장과 일상에서 소통의 벽을 자주 경험하는 사람이라면 이 책을 통해 대화의 본질을 새롭게 발견하게 될 것이다.</t>
        </is>
      </c>
      <c r="E26" t="inlineStr">
        <is>
          <t>장신웨</t>
        </is>
      </c>
      <c r="F26" t="inlineStr">
        <is>
          <t>알토북스</t>
        </is>
      </c>
      <c r="G26" t="inlineStr">
        <is>
          <t>2026-07-20</t>
        </is>
      </c>
      <c r="H26" t="n">
        <v>17800</v>
      </c>
      <c r="I26" t="n">
        <v>16020</v>
      </c>
      <c r="J26" t="n">
        <v>10</v>
      </c>
      <c r="K26" t="n">
        <v>0</v>
      </c>
      <c r="L26" t="n">
        <v>1</v>
      </c>
      <c r="M26" t="n">
        <v>10</v>
      </c>
      <c r="N26" t="inlineStr">
        <is>
          <t>자기계발</t>
        </is>
      </c>
      <c r="O26" t="inlineStr">
        <is>
          <t>https://contents.kyobobook.co.kr/sih/fit-in/200x0/pdt/9791194655381.jpg</t>
        </is>
      </c>
    </row>
    <row r="27">
      <c r="A27" t="inlineStr">
        <is>
          <t>S000220119843</t>
        </is>
      </c>
      <c r="B27" t="n">
        <v>26</v>
      </c>
      <c r="C27" t="inlineStr">
        <is>
          <t>부의 갈림길</t>
        </is>
      </c>
      <c r="D27" t="inlineStr">
        <is>
          <t>★★★ 60만 독자가 열광한 『부의 대이동』, 『환율의 대전환』 작가의 최신작
★★★ tvN 〈유퀴즈〉, KBS 〈세계는 지금〉, 유튜브 〈지식인사이드〉 화제의 인물
지정학적 분쟁, K자 경제, 신임 연준 의장 케빈 워시, AI 혁명, 달러 패권의 향방 등 세계 경제의 판도를 뒤흔들 다섯 가지 거대 갈림길이 온다. 기존의 공식이 통하지 않고. 갈수록 높아지는 변동성으로 길이 보이지 않을 때 거시경제 전문가 오건영이 제시하는 부의 이정표를 살펴보자. 포트폴리오를 재편하고, 부가 지나는 길목을 선점할 수 있을 것이다.</t>
        </is>
      </c>
      <c r="E27" t="inlineStr">
        <is>
          <t>오건영</t>
        </is>
      </c>
      <c r="F27" t="inlineStr">
        <is>
          <t>포레스트북스</t>
        </is>
      </c>
      <c r="G27" t="inlineStr">
        <is>
          <t>2026-06-10</t>
        </is>
      </c>
      <c r="H27" t="n">
        <v>27000</v>
      </c>
      <c r="I27" t="n">
        <v>24300</v>
      </c>
      <c r="J27" t="n">
        <v>10</v>
      </c>
      <c r="K27" t="n">
        <v>0</v>
      </c>
      <c r="L27" t="n">
        <v>120</v>
      </c>
      <c r="M27" t="n">
        <v>9.83</v>
      </c>
      <c r="N27" t="inlineStr">
        <is>
          <t>경제/경영</t>
        </is>
      </c>
      <c r="O27" t="inlineStr">
        <is>
          <t>https://contents.kyobobook.co.kr/sih/fit-in/200x0/pdt/9791124591048.jpg</t>
        </is>
      </c>
    </row>
    <row r="28">
      <c r="A28" t="inlineStr">
        <is>
          <t>S000219732915</t>
        </is>
      </c>
      <c r="B28" t="n">
        <v>27</v>
      </c>
      <c r="C28" t="inlineStr">
        <is>
          <t>품격 있는 대화를 위한 지식 브리핑</t>
        </is>
      </c>
      <c r="D28" t="inlineStr">
        <is>
          <t>매일 아침 100만 명의 뉴스를 책임지는 앵커 김진의 첫 책. 16년간 취재 기자이자 간판 뉴스 앵커로 활동해온 저자는 역설적으로 "뉴스는 세상의 진짜 지식을 말해주지 않는다"고 단언한다. 120만 구독자를 보유한 유튜브 채널 〈꽉TV〉와 시사 프로그램 〈김진의 돌직구쇼〉를 통해 복잡한 현안을 명쾌하게 풀어온 그가, 이번에는 뉴스 이면에 숨겨진 세상의 설계도를 한 권의 책에 담아냈다. 이 책은 정치, 경제, 사회, 문화, 국제 등 5개 분야를 관통하는 핵심 주제를 다룬다. ‘죄수의 딜레마’부터 ‘깨진 유리창 이론’, ‘투키디데스의 함정’, ‘민스키 모멘트’에 이르기까지 방대한 인문·사회과학적 개념을 실제 뉴스 사건에 정교하게 대입했다. 
파편화된 정보와 알고리즘의 홍수 속에서 현상의 본질을 꿰뚫기 위해서는 구조를 읽어내는 눈이 필수적이다. 저자가 정리한 50가지 지적 프레임은 복잡한 세상 속에서 흔들리지 않는 '나만의 사고 기준'을 세워주는 단단한 기초가 되어줄 것이다. 어느 페이지를 먼저 읽어도 좋다. 흩어져 있던 뉴스들이 하나의 맥락으로 연결되는 순간, 세상을 보는 지도는 선명해진다. 품격 있는 대화는 유려한 말기술이 아니라 사안을 바라보는 '이해의 깊이'에서 완성된다. 이 책은 당신의 대화에 깊이를, 사고에 무게를 더해줄 것이다.</t>
        </is>
      </c>
      <c r="E28" t="inlineStr">
        <is>
          <t>김진</t>
        </is>
      </c>
      <c r="F28" t="inlineStr">
        <is>
          <t>북플레저</t>
        </is>
      </c>
      <c r="G28" t="inlineStr">
        <is>
          <t>2026-05-06</t>
        </is>
      </c>
      <c r="H28" t="n">
        <v>25000</v>
      </c>
      <c r="I28" t="n">
        <v>22500</v>
      </c>
      <c r="J28" t="n">
        <v>10</v>
      </c>
      <c r="K28" t="n">
        <v>0</v>
      </c>
      <c r="L28" t="n">
        <v>236</v>
      </c>
      <c r="M28" t="n">
        <v>9.67</v>
      </c>
      <c r="N28" t="inlineStr">
        <is>
          <t>인문</t>
        </is>
      </c>
      <c r="O28" t="inlineStr">
        <is>
          <t>https://contents.kyobobook.co.kr/sih/fit-in/200x0/pdt/9791124038413.jpg</t>
        </is>
      </c>
    </row>
    <row r="29">
      <c r="A29" t="inlineStr">
        <is>
          <t>S000218674965</t>
        </is>
      </c>
      <c r="B29" t="n">
        <v>28</v>
      </c>
      <c r="C29" t="inlineStr">
        <is>
          <t>2026 큰별쌤 최태성의 별별한국사 한국사능력검정시험 심화(1,2,3급)(상)</t>
        </is>
      </c>
      <c r="D29" t="inlineStr">
        <is>
          <t>"〈2026 큰별쌤 최태성의 별별한국사 한국사능력검정시험 심화 상〉
오랜 연구와 검증으로 한국사에 기초가 전혀 없는 사람도 단기간에 한능검에 합격할 수 있는 최적의 구성을 완성하였습니다. 판서의 장인 큰별쌤 최태성이 핵심만을 모아 만든 아트 판서를 수록하고, 시험에 자주 등장하는 사료, 사진, 지도 등을 모아 해설하여 합격을 위한 필수 개념을 익히기 쉽게 하였습니다. 또한, 한능검 기출문제를 모두 분석한 후, 기출 선택지를 이용한 별 채우기 문제를 수록하여 자연스럽게 기출 선택지가 기억될 수 있도록 하였고, 반복적으로 출제되는 주제의 최신 기출문제를 꼼꼼하고 친절한 해설과 함께 담아 실전에 대비할 수 있도록 하였습니다. 여기에 한국사 연표와 지역의 역사를 담은 지도를 통해 한국사 흐름잡기가 더욱 쉬울 것입니다.
제시된 이미지는 책의 뒷표지입니다.
〈2026 큰별쌤 최태성의 별별한국사 한국사능력검정시험 심화(1·2·3급) 상〉의 앞표지는 1억원 기부를 통해 사랑의 열매 '아너 소사이어티'에 가입되도록 함께 지원해 주신 최태성 1, 2TV 별님들로 구성되었습니다."</t>
        </is>
      </c>
      <c r="E29" t="inlineStr">
        <is>
          <t>최태성</t>
        </is>
      </c>
      <c r="F29" t="inlineStr">
        <is>
          <t>이투스북</t>
        </is>
      </c>
      <c r="G29" t="inlineStr">
        <is>
          <t>2025-12-09</t>
        </is>
      </c>
      <c r="H29" t="n">
        <v>19000</v>
      </c>
      <c r="I29" t="n">
        <v>17100</v>
      </c>
      <c r="J29" t="n">
        <v>10</v>
      </c>
      <c r="K29" t="n">
        <v>0</v>
      </c>
      <c r="L29" t="n">
        <v>394</v>
      </c>
      <c r="M29" t="n">
        <v>9.9</v>
      </c>
      <c r="N29" t="inlineStr">
        <is>
          <t>인문</t>
        </is>
      </c>
      <c r="O29" t="inlineStr">
        <is>
          <t>https://contents.kyobobook.co.kr/sih/fit-in/200x0/pdt/9791138934428.jpg</t>
        </is>
      </c>
    </row>
    <row r="30">
      <c r="A30" t="inlineStr">
        <is>
          <t>S000000597589</t>
        </is>
      </c>
      <c r="B30" t="n">
        <v>29</v>
      </c>
      <c r="C30" t="inlineStr">
        <is>
          <t>생각에 관한 생각</t>
        </is>
      </c>
      <c r="D30" t="inlineStr">
        <is>
          <t>새로운 인간학의 지평을 연 현대의 고전, 행동경제학과 인지심리학의 바이블 『생각에 관한 생각』. 21세기 들어 분야를 막론한 여러 학문에서는 인간의 한계와 불완전성에 대한 언급과 주장이 강세를 보였다. 자신의 능력을 과대평가하고 주변 환경과 운을 과소평가하는 인간의 특성을 신랄하게 지적하고, 약점을 보완할 수 있는 사고방식과 행동을 소개하는 책들이 소개되고 있다. 그리고 이 모든 주장과 저서의 기본 원칙은 바로 이 책에서 설명하는 카너먼의 풍부한 연구 결과들에 기초하고 있다. 
“애덤 스미스가 고전경제학의 아버지라면, 대니얼 카너먼은 현대경제학의 대부이다!”라는 언론의 극찬을 받은 독보적 지성인, 현존하는 거장의 역작이지만 그를 접하는 데 있어 너무 겁만 먹지는 말자. 쉽지는 않을지 몰라도 접근이 불가할 정도로 어렵고 복잡하기만 한 책은 아니다. 이 책을 읽는 독자들은 소소한 곱셈 문제에서부터 그림 문제, 도형 문제, 그리고 어려운 살인 사건에 관련된 복잡한 문제와 대도시 택시 뺑소니 사건 등 수많은 퀴즈를 맞닥뜨리게 될 것이다. 가능하면 하나씩 시간을 들여 풀어보고 생각해보라. 재미있고 흥미로운 이 퀴즈들은 모두 위대한 사회과학 이론의 토대가 되는 연구의 시발점이다.
석학의 연구 결과에 도전한다는 부담감은 내려놓고 찬찬히 읽어보라. 생경했던 ‘시스템 1’과 ‘시스템 2’라는 용어와 개념이 친숙하게 다가올 것이고, 한 몸에서 따로 놀던 두 개의 자아 중 자신이 어느 쪽을 편애했는지 깨닫게 될 것이다. 그리하여 개선하고자 하는 열망을 갖게 되고, 더욱 더 바람직한 자아 형성에 힘쓰게 될 것이다. 《생각에 관한 생각》은 결국 인간 행복을 증진시키기 위한 생각이며, 우리의 인생을 더욱 풍요롭게 하기 위한 생각이다.</t>
        </is>
      </c>
      <c r="E30" t="inlineStr">
        <is>
          <t>대니얼 카너먼</t>
        </is>
      </c>
      <c r="F30" t="inlineStr">
        <is>
          <t>김영사</t>
        </is>
      </c>
      <c r="G30" t="inlineStr">
        <is>
          <t>2018-03-30</t>
        </is>
      </c>
      <c r="H30" t="n">
        <v>29800</v>
      </c>
      <c r="I30" t="n">
        <v>26820</v>
      </c>
      <c r="J30" t="n">
        <v>10</v>
      </c>
      <c r="K30" t="n">
        <v>0</v>
      </c>
      <c r="L30" t="n">
        <v>682</v>
      </c>
      <c r="M30" t="n">
        <v>9.619999999999999</v>
      </c>
      <c r="N30" t="inlineStr">
        <is>
          <t>경제/경영</t>
        </is>
      </c>
      <c r="O30" t="inlineStr">
        <is>
          <t>https://contents.kyobobook.co.kr/sih/fit-in/200x0/pdt/9788934981213.jpg</t>
        </is>
      </c>
    </row>
    <row r="31">
      <c r="A31" t="inlineStr">
        <is>
          <t>S000219976174</t>
        </is>
      </c>
      <c r="B31" t="n">
        <v>30</v>
      </c>
      <c r="C31" t="inlineStr">
        <is>
          <t>EBS 수능완성 영어영역 영어(2026)(2027 수능대비)</t>
        </is>
      </c>
      <c r="D31" t="inlineStr">
        <is>
          <t>[EBS에서 준비한 수능완성 실전 대비 커리큘럼]
① 수능완성: 최신 수능 출제 경향과 유형을 반영하여 구성한 실전 중심의 수능 대비 필수 교재
  - 주제별 핵심 개념 정리로 주요 내용을 최종 점검
  - 유형·테마별 실전 문항 수록으로 실전 감각 강화
  - 수능 유형 실전 모의고사 5회분 제공으로 실전 적응력 극대화
② 수능완성 사용설명서: 문항에 담긴 출제 의도를 EBS가 직접 분석한 가장 정확한 해설서
  - 시간이 부족한 수험생, 완벽한 학습을 원하는 수험생을 위한 최적의 첨삭 지도서
  - 수능완성의 효과적인 학습 방법을 제시하는 실전 맞춤형 보조 교재
※ 단 한 번의 수능을 위한 〈EBS 모의고사 시리즈〉
(1) FINAL 실전 모의고사 → 만점마무리 봉투모의고사 시즌1 → 만점마무리 봉투모의고사 시즌2 고난도 → 고난도 논스톱 봉투모의고사 → 수능 직전보강 클리어 봉투모의고사
(2) EBS eBook 전용 모의고사 〈버티컬 모의고사〉 시즌1~4 (시즌별 3책)</t>
        </is>
      </c>
      <c r="E31" t="inlineStr">
        <is>
          <t>EBS교육방송 편집부</t>
        </is>
      </c>
      <c r="F31" t="inlineStr">
        <is>
          <t>한국교육방송공사(EBSi)</t>
        </is>
      </c>
      <c r="G31" t="inlineStr">
        <is>
          <t>2026-05-22</t>
        </is>
      </c>
      <c r="H31" t="n">
        <v>15600</v>
      </c>
      <c r="I31" t="n">
        <v>14040</v>
      </c>
      <c r="J31" t="n">
        <v>10</v>
      </c>
      <c r="K31" t="n">
        <v>0</v>
      </c>
      <c r="L31" t="n">
        <v>131</v>
      </c>
      <c r="M31" t="n">
        <v>9.9</v>
      </c>
      <c r="N31" t="inlineStr">
        <is>
          <t>중/고등참고서</t>
        </is>
      </c>
      <c r="O31" t="inlineStr">
        <is>
          <t>https://contents.kyobobook.co.kr/sih/fit-in/200x0/pdt/9791143600523.jpg</t>
        </is>
      </c>
    </row>
    <row r="32">
      <c r="A32" t="inlineStr">
        <is>
          <t>S000001016020</t>
        </is>
      </c>
      <c r="B32" t="n">
        <v>31</v>
      </c>
      <c r="C32" t="inlineStr">
        <is>
          <t>유럽 도시 기행 1</t>
        </is>
      </c>
      <c r="D32" t="inlineStr">
        <is>
          <t>도시가 품고 있는 이야기를 들으면서 새로운 것을 배우는 유시민. 5년이라는 시간 동안 아내 한경혜와 함께 수첩과 카메라를 들고 유럽의 도시를 탐사한 그가 도시의 건축물과 거리, 광장, 박물관과 예술품이 들려주는 이야기에 귀 기울일 수 있도록 역사와 문화, 그리고 그에 얽힌 지식과 정보를 자신만의 목소리로 담아낸 『유럽 도시 기행』 제1권 《아테네, 로마, 이스탄불, 파리 편》.
문명의 빅뱅이 일어난 아테네, 그렇게 탄생한 문명이라는 소우주가 가속 팽창을 이룬 로마, 무려 삼천 년에 가까운 오랜 기간 동안 국제도시였던 이스탄불, 보잘것없는 변방에서 문명의 최전선이 된 도시 파리까지, 한때는 혹은 지금, 유럽의 역사와 문명 그리고 문화의 심장 역할을 하고 있는 이 네 도시는 유럽문명의 DNA를 품고 있는 도시라고 할 수 있다. 
저자는 자신의 방식대로 여행하면서 각각의 도시에서 벌어진 일련의 사건(history)과 그 도시에 뚜렷한 흔적을 남긴 사람의 생애(story)를 탐색했다. 한때 유럽 문명을 탄생시킨 저마다의 숨은 이야기와 혹은 우리가 너무나 잘 알거나 또는 새롭게 알게 되는 주인공들을 색다른 모습으로 하나씩 만날 수 있다.</t>
        </is>
      </c>
      <c r="E32" t="inlineStr">
        <is>
          <t>유시민</t>
        </is>
      </c>
      <c r="F32" t="inlineStr">
        <is>
          <t>생각의길</t>
        </is>
      </c>
      <c r="G32" t="inlineStr">
        <is>
          <t>2019-07-09</t>
        </is>
      </c>
      <c r="H32" t="n">
        <v>16500</v>
      </c>
      <c r="I32" t="n">
        <v>14850</v>
      </c>
      <c r="J32" t="n">
        <v>10</v>
      </c>
      <c r="K32" t="n">
        <v>0</v>
      </c>
      <c r="L32" t="n">
        <v>725</v>
      </c>
      <c r="M32" t="n">
        <v>9.289999999999999</v>
      </c>
      <c r="N32" t="inlineStr">
        <is>
          <t>인문</t>
        </is>
      </c>
      <c r="O32" t="inlineStr">
        <is>
          <t>https://contents.kyobobook.co.kr/sih/fit-in/200x0/pdt/9788965135586.jpg</t>
        </is>
      </c>
    </row>
    <row r="33">
      <c r="A33" t="inlineStr">
        <is>
          <t>S000001632467</t>
        </is>
      </c>
      <c r="B33" t="n">
        <v>32</v>
      </c>
      <c r="C33" t="inlineStr">
        <is>
          <t>모순</t>
        </is>
      </c>
      <c r="D33" t="inlineStr">
        <is>
          <t>양귀자 소설의 힘을 보여준 베스트셀러 『모순』. 1998년에 초판이 출간된 이후 132쇄를 찍으며 여전히 많은 사랑을 받고 있는 작품을, 오래도록 소장할 수 있는 양장본으로 새롭게 선보인다. 스물다섯 살 미혼여성 안진진을 통해 모순으로 가득한 우리의 인생을 들여다본다. 작가 특유의 섬세한 문장들로 여러 인물들의 삶을 생생하게 그려내고 있다.
시장에서 내복을 팔고 있는 억척스런 어머니와 행방불명 상태로 떠돌다 가끔씩 귀가하는 아버지, 조폭의 보스가 인생의 꿈인 남동생을 가족으로 둔 안진진. 어머니와 일란성 쌍둥이인 이모는 부유하지만 지루한 삶에 지쳐 있고, 가난한 어머니는 처리해야 할 불행들이 많아 지루할 틈이 없다. 안진진은 사뭇 다른 어머니와 이모의 삶을 바라보며 모순투성이인 삶을 어떻게 이해해야 하는지 고민하기 시작하는데….</t>
        </is>
      </c>
      <c r="E33" t="inlineStr">
        <is>
          <t>양귀자</t>
        </is>
      </c>
      <c r="F33" t="inlineStr">
        <is>
          <t>쓰다</t>
        </is>
      </c>
      <c r="G33" t="inlineStr">
        <is>
          <t>2013-04-01</t>
        </is>
      </c>
      <c r="H33" t="n">
        <v>13000</v>
      </c>
      <c r="I33" t="n">
        <v>11700</v>
      </c>
      <c r="J33" t="n">
        <v>10</v>
      </c>
      <c r="K33" t="n">
        <v>0</v>
      </c>
      <c r="L33" t="n">
        <v>3833</v>
      </c>
      <c r="M33" t="n">
        <v>9.789999999999999</v>
      </c>
      <c r="N33" t="inlineStr">
        <is>
          <t>소설</t>
        </is>
      </c>
      <c r="O33" t="inlineStr">
        <is>
          <t>https://contents.kyobobook.co.kr/sih/fit-in/200x0/pdt/9788998441012.jpg</t>
        </is>
      </c>
    </row>
    <row r="34">
      <c r="A34" t="inlineStr">
        <is>
          <t>S000220573907</t>
        </is>
      </c>
      <c r="B34" t="n">
        <v>33</v>
      </c>
      <c r="C34" t="inlineStr">
        <is>
          <t>황천의 츠가이 11</t>
        </is>
      </c>
      <c r="D34" t="inlineStr"/>
      <c r="E34" t="inlineStr">
        <is>
          <t>Hiromu Arakawa</t>
        </is>
      </c>
      <c r="F34" t="inlineStr">
        <is>
          <t>대원씨아이</t>
        </is>
      </c>
      <c r="G34" t="inlineStr">
        <is>
          <t>2026-07-31</t>
        </is>
      </c>
      <c r="H34" t="n">
        <v>6500</v>
      </c>
      <c r="I34" t="n">
        <v>5850</v>
      </c>
      <c r="J34" t="n">
        <v>10</v>
      </c>
      <c r="K34" t="n">
        <v>0</v>
      </c>
      <c r="L34" t="n">
        <v>0</v>
      </c>
      <c r="M34" t="n">
        <v>0</v>
      </c>
      <c r="N34" t="inlineStr">
        <is>
          <t>만화</t>
        </is>
      </c>
      <c r="O34" t="inlineStr">
        <is>
          <t>https://contents.kyobobook.co.kr/sih/fit-in/200x0/pdt/9791142358777.jpg</t>
        </is>
      </c>
    </row>
    <row r="35">
      <c r="A35" t="inlineStr">
        <is>
          <t>S000218791163</t>
        </is>
      </c>
      <c r="B35" t="n">
        <v>34</v>
      </c>
      <c r="C35" t="inlineStr">
        <is>
          <t>ETS 토익 정기시험 기출문제집 1000 Vol 5 RC</t>
        </is>
      </c>
      <c r="D35" t="inlineStr">
        <is>
          <t>1. 최신 기출문제 전격 공개!
이 책에는 토익 정기시험 최신 기출문제 10회가 수록되어 있다. 시험에 나온 최신 기출문제로 실전 감각을 키워 시험에 확실하게 대비하자!
2. 고난도 문항 무료 동영상 강의!
교재 내 QR코드는 해당 회차의 무료 동영상 강의로 연결된다. 오답률 높은 고난도 문항을 친절한 해설 강의와 함께 완벽 마스터하자!
3. 기출 포인트를 꿰뚫는 명쾌한 해설! 
최신 출제경향을 가장 정확하게 알 수 있는 기출문제를 풀고 출제 포인트가 보이는 명쾌한 해설로 토익을 정복해 보자!
4. ETS 토익 온라인/모바일 학습 지원!
온라인 학습 커뮤니티(www.etstoeicbook.co.kr)를 통해 교재 소개 및 학습 콘텐츠, 정기시험 대비특강을 지원한다. 또한 동영상 강의, 기출어휘 단어장, 기출테스트 채점/분석 등을 지원하는 토익 필수템 'ETS 토익기출 수험서 앱'으로 보다 스마트하게 학습해 보자!</t>
        </is>
      </c>
      <c r="E35" t="inlineStr">
        <is>
          <t>ETS</t>
        </is>
      </c>
      <c r="F35" t="inlineStr">
        <is>
          <t>YBM</t>
        </is>
      </c>
      <c r="G35" t="inlineStr">
        <is>
          <t>2025-12-15</t>
        </is>
      </c>
      <c r="H35" t="n">
        <v>22000</v>
      </c>
      <c r="I35" t="n">
        <v>19800</v>
      </c>
      <c r="J35" t="n">
        <v>10</v>
      </c>
      <c r="K35" t="n">
        <v>0</v>
      </c>
      <c r="L35" t="n">
        <v>275</v>
      </c>
      <c r="M35" t="n">
        <v>9.859999999999999</v>
      </c>
      <c r="N35" t="inlineStr">
        <is>
          <t>외국어</t>
        </is>
      </c>
      <c r="O35" t="inlineStr">
        <is>
          <t>https://contents.kyobobook.co.kr/sih/fit-in/200x0/pdt/9788917243802.jpg</t>
        </is>
      </c>
    </row>
    <row r="36">
      <c r="A36" t="inlineStr">
        <is>
          <t>S000061351196</t>
        </is>
      </c>
      <c r="B36" t="n">
        <v>35</v>
      </c>
      <c r="C36" t="inlineStr">
        <is>
          <t>유럽 도시 기행 2</t>
        </is>
      </c>
      <c r="D36" t="inlineStr">
        <is>
          <t>"이 책은 힘들게 마음먹은 유럽 도시를 알차고 풍성하게 여행하거나 미디어를 통해 어렴풋이 알고 있는 유럽의 도시를 제대로 알고 싶을 때, 누군가 콕콕 찍어서 알려 줬으면 하는 내용이 빼곡히 들어있다. 도시의 매력을 느낄 수 있는 핫플레이스부터, 각 도시의 건축물, 길과 광장, 박물관과 예술품 등 그 무엇을 만나도 당황하지 않을 탄탄한 배경 지식, 도시의 존재감을 만들어낸 세계사적 사건과 인물들, 유럽의 역사와 도시의 역사가 씨줄과 날줄처럼 교차하며 생긴 도시의 서사와 상흔들까지, 우리가 도시를 더 풍성하게 만끽할 수 있는 흥미진진한 이야기를 펼친다. 여기에 도시와 인간, 그리고 삶을 바라보는 작가의 지적 통찰력이 더해져 도시가 품은 가치와 맥락, 의미 있는 서사들이 우리의 현재와 어떻게 교감하는지를 보여준다."
사람이 만든 것에는 이야기가 있다. 인간이 만든 가장 크고 아름답고 오래된 것은 아마 도시일 것이다. 도시는 역사적 사건과 인물들이 만든 생생하고, 드라마틱한 낯선 이야기가 깃들어 있다. 특히 유럽의 도시는 박물관이나 왕궁에서뿐 아니라 광장, 건물, 카페, 골목 등과 같은 일상의 공간들도 흥미로운 히스토리를 품고 있는 곳이 많다. 작가는 이러한 유럽의 도시 공간이 전하는 이야기들을 들을 수 있게, 도시의 표면 아래 숨겨진 이야기를 찾고 도시가 품고 있는 인물들의 삶을 돌아보며 오늘의 도시가 탄생하기까지 영광과 상처, 야만과 관용, 성과 속, 단절과 연결, 좌절과 성취, 삶과 죽음 등을 그만의 시선으로 마주한다. 
작가가 전하는 도시 공간과 그 속에 담긴 이야기는 인간이 앞으로 나아온 성취의 과정과 그 과정에서 표출한 아름다움과 추함, 이기심과 이타심, 절망과 희망 같은 인간의 다양한 얼굴을 보여주며 현재를 비춘다. 이것은 우리 자신을 더 입체적으로 느끼게 하고 평소와는 다른 낯선 생각과 감정을 불러일으키며 자신과 마주하게 한다. 아마도 이것이 멀지만 낯선 거리를 걷고 또 걸으며 유럽의 도시를 여행하는 이유가 아닐까.</t>
        </is>
      </c>
      <c r="E36" t="inlineStr">
        <is>
          <t>유시민</t>
        </is>
      </c>
      <c r="F36" t="inlineStr">
        <is>
          <t>생각의길</t>
        </is>
      </c>
      <c r="G36" t="inlineStr">
        <is>
          <t>2022-07-09</t>
        </is>
      </c>
      <c r="H36" t="n">
        <v>17500</v>
      </c>
      <c r="I36" t="n">
        <v>15750</v>
      </c>
      <c r="J36" t="n">
        <v>10</v>
      </c>
      <c r="K36" t="n">
        <v>0</v>
      </c>
      <c r="L36" t="n">
        <v>243</v>
      </c>
      <c r="M36" t="n">
        <v>9.720000000000001</v>
      </c>
      <c r="N36" t="inlineStr">
        <is>
          <t>인문</t>
        </is>
      </c>
      <c r="O36" t="inlineStr">
        <is>
          <t>https://contents.kyobobook.co.kr/sih/fit-in/200x0/pdt/9788965137702.jpg</t>
        </is>
      </c>
    </row>
    <row r="37">
      <c r="A37" t="inlineStr">
        <is>
          <t>S000220567031</t>
        </is>
      </c>
      <c r="B37" t="n">
        <v>36</v>
      </c>
      <c r="C37" t="inlineStr">
        <is>
          <t>에스콰이어(ESQUIRE)(2026년 8월호)</t>
        </is>
      </c>
      <c r="D37" t="inlineStr">
        <is>
          <t>『에스콰이어(ESQUIRE)』는 취향있는 남자들을 위한 지적인 바이블 매거진이다.</t>
        </is>
      </c>
      <c r="E37" t="inlineStr">
        <is>
          <t>허스트중앙 편집부</t>
        </is>
      </c>
      <c r="F37" t="inlineStr">
        <is>
          <t>허스트중앙</t>
        </is>
      </c>
      <c r="G37" t="inlineStr">
        <is>
          <t>2026-07-23</t>
        </is>
      </c>
      <c r="H37" t="n">
        <v>8000</v>
      </c>
      <c r="I37" t="n">
        <v>7600</v>
      </c>
      <c r="J37" t="n">
        <v>5</v>
      </c>
      <c r="K37" t="n">
        <v>0</v>
      </c>
      <c r="L37" t="n">
        <v>0</v>
      </c>
      <c r="M37" t="n">
        <v>0</v>
      </c>
      <c r="N37" t="inlineStr">
        <is>
          <t>잡지</t>
        </is>
      </c>
      <c r="O37" t="inlineStr">
        <is>
          <t>https://contents.kyobobook.co.kr/sih/fit-in/200x0/pdt/3904000621647.jpg</t>
        </is>
      </c>
    </row>
    <row r="38">
      <c r="A38" t="inlineStr">
        <is>
          <t>S000214700980</t>
        </is>
      </c>
      <c r="B38" t="n">
        <v>37</v>
      </c>
      <c r="C38" t="inlineStr">
        <is>
          <t>완자 고등 통합과학 2(2026)</t>
        </is>
      </c>
      <c r="D38" t="inlineStr">
        <is>
          <t>[교재 소개]
1. 혼자서도 교과 개념을 익히고 내신 시험을 준비할 수 있는 ‘완벽한 자율 학습서’ 입니다.
2. 고등 통합과학의 핵심 개념을 쉽고 체계적으로 정리한 교재입니다.
3. 2022개정 교육과정에 해당하는 전국의 기출문제를 분석하여 기출 경향에 맞게 개선한 교재입니다.</t>
        </is>
      </c>
      <c r="E38" t="inlineStr">
        <is>
          <t>김은경 외</t>
        </is>
      </c>
      <c r="F38" t="inlineStr">
        <is>
          <t>비상</t>
        </is>
      </c>
      <c r="G38" t="inlineStr">
        <is>
          <t>2024-11-01</t>
        </is>
      </c>
      <c r="H38" t="n">
        <v>18500</v>
      </c>
      <c r="I38" t="n">
        <v>16650</v>
      </c>
      <c r="J38" t="n">
        <v>10</v>
      </c>
      <c r="K38" t="n">
        <v>0</v>
      </c>
      <c r="L38" t="n">
        <v>500</v>
      </c>
      <c r="M38" t="n">
        <v>9.800000000000001</v>
      </c>
      <c r="N38" t="inlineStr">
        <is>
          <t>중/고등참고서</t>
        </is>
      </c>
      <c r="O38" t="inlineStr">
        <is>
          <t>https://contents.kyobobook.co.kr/sih/fit-in/200x0/pdt/9791173161896.jpg</t>
        </is>
      </c>
    </row>
    <row r="39">
      <c r="A39" t="inlineStr">
        <is>
          <t>S000220447668</t>
        </is>
      </c>
      <c r="B39" t="n">
        <v>38</v>
      </c>
      <c r="C39" t="inlineStr">
        <is>
          <t>읽는 기도: 휴거 깨어있으라</t>
        </is>
      </c>
      <c r="D39" t="inlineStr">
        <is>
          <t>『휴거 깨어 있으라』의 출간 목적은 독자를 불안하게 만들거나 공포를 조장하는 데 있지 않다. 오히려 아직 기회가 있을 때 하나님께 돌아가고, 삶의 자리에서 죄에 무뎌지지 않으며, 말씀과 기도로 주님을 기다리는 믿음을 회복하도록 권면하는 데 있다.
이 책은 휴거를 단순한 종말의 공포나 미래에 대한 추측으로 다루지 않는다. 오히려 “항상 기도하며 깨어 있으라”는 말씀처럼, 매일의 말과 생각, 관계와 선택 속에서 하나님을 의식하며 살아가는 것이 무엇인지 구체적으로 돌아보게 한다.
숨겨진 죄와 반복되는 습관, 감정과 언어, 말씀과 기도, 예배와 공동체 생활까지 점검하는 ‘휴거 대비 영적 점검 리스트 100개’는 독자가 자신의 믿음을 정죄가 아닌 회복의 자리에서 살펴보도록 한다.
저자는 휴거 이후의 7년 대환난, 적그리스도와 짐승의 표, 아마겟돈 전쟁, 천년왕국, 새 하늘과 새 땅에 이르는 흐름도 함께 다룬다. 해석의 차이와 논의가 이어져 온 요한계시록의 본문들을 단순한 자극이나 억측으로 풀어내기보다, 성경의 여러 말씀을 연결하여 독자가 말씀 안에서 직접 생각하고 분별할 수 있도록 안내한다.
마지막에는 마음과 영혼, 말씀과 기도, 삶의 방향, 예배와 공동체를 차례로 돌아보는 4주간의 준비 과정을 담았다. 막연히 재림을 기다리는 데 그치지 않고, 오늘 하루를 어떻게 살아야 하는지 실제적으로 붙들어 주는 구성이다.
재림과 휴거에 관한 성경적 흐름을 이해하고 싶은 독자, 자신의 믿음과 삶을 다시 점검하고 싶은 성도, 말씀 안에서 깨어 있는 삶을 회복하고 싶은 이들에게 이 책은 조용하지만 분명한 영적 안내서가 되어 줄 것이다.</t>
        </is>
      </c>
      <c r="E39" t="inlineStr">
        <is>
          <t>무명의 기도자</t>
        </is>
      </c>
      <c r="F39" t="inlineStr">
        <is>
          <t>더하트</t>
        </is>
      </c>
      <c r="G39" t="inlineStr">
        <is>
          <t>2026-07-14</t>
        </is>
      </c>
      <c r="H39" t="n">
        <v>8800</v>
      </c>
      <c r="I39" t="n">
        <v>7920</v>
      </c>
      <c r="J39" t="n">
        <v>10</v>
      </c>
      <c r="K39" t="n">
        <v>0</v>
      </c>
      <c r="L39" t="n">
        <v>119</v>
      </c>
      <c r="M39" t="n">
        <v>9.9</v>
      </c>
      <c r="N39" t="inlineStr">
        <is>
          <t>종교</t>
        </is>
      </c>
      <c r="O39" t="inlineStr">
        <is>
          <t>https://contents.kyobobook.co.kr/sih/fit-in/200x0/pdt/9791194177616.jpg</t>
        </is>
      </c>
    </row>
    <row r="40">
      <c r="A40" t="inlineStr">
        <is>
          <t>S000218942259</t>
        </is>
      </c>
      <c r="B40" t="n">
        <v>39</v>
      </c>
      <c r="C40" t="inlineStr">
        <is>
          <t>돈의 심리학(50만 부 기념 뉴 에디션)</t>
        </is>
      </c>
      <c r="D40" t="inlineStr">
        <is>
          <t>출간과 동시에 전 세계 금융계에 큰 반향을 일으키며 “투자의 패러다임을 바꾼 책”이라는 찬사를 받은 《돈의 심리학》이 국내 누적 판매 50만 부를 돌파하며 뉴 에디션으로 돌아왔다. 이번 50만 부 기념 에디션에는 저자 모건 하우절이 새롭게 집필한 ‘두 번째 보너스 스토리’가 수록되었다. 
저자는 2021년 출간 이후 급변하는 시장을 지속적으로 관찰하며 한 가지 사실을 더욱 분명하게 확신하게 되었다. 부의 원칙은 변하지 않지만, 사람들은 늘 같은 실수를 반복한다는 것. 시장은 끊임없이 요동치지만, 공포와 탐욕, 비교와 후회 같은 인간의 심리는 놀라울 만큼 비슷한 방식으로 되풀이된다. 이번에 추가된 보너스 스토리는 이처럼 변하지 않는 부의 본질을 다시 한번 정확히 짚어내며, 독자들에게 흔들리지 않는 투자 철학을 전한다.
인간의 심리에서 비롯된 선택들이 어떻게 장기적인 자산 격차로 이어지는지 명쾌하고 설득력 있게 풀어낸 《돈의 심리학》은 월가의 전설 하워드 막스, 《아주 작은 습관의 힘》의 저자 제임스 클리어 등 세계적 거장들과 국내외 주요 언론의 극찬을 받으며 이제 단순한 베스트셀러를 넘어 투자의 ‘교과서’이자 시대를 관통하는 고전으로 자리매김했다. 모건 하우절이 제시하는 ‘돈의 심리학’은 독자들의 투자 여정을 지켜주는 단단한 이정표가 되어줄 것이다.</t>
        </is>
      </c>
      <c r="E40" t="inlineStr">
        <is>
          <t>모건 하우절</t>
        </is>
      </c>
      <c r="F40" t="inlineStr">
        <is>
          <t>인플루엔셜</t>
        </is>
      </c>
      <c r="G40" t="inlineStr">
        <is>
          <t>2026-01-14</t>
        </is>
      </c>
      <c r="H40" t="n">
        <v>24800</v>
      </c>
      <c r="I40" t="n">
        <v>22320</v>
      </c>
      <c r="J40" t="n">
        <v>10</v>
      </c>
      <c r="K40" t="n">
        <v>0</v>
      </c>
      <c r="L40" t="n">
        <v>222</v>
      </c>
      <c r="M40" t="n">
        <v>9.880000000000001</v>
      </c>
      <c r="N40" t="inlineStr">
        <is>
          <t>경제/경영</t>
        </is>
      </c>
      <c r="O40" t="inlineStr">
        <is>
          <t>https://contents.kyobobook.co.kr/sih/fit-in/200x0/pdt/9791168343443.jpg</t>
        </is>
      </c>
    </row>
    <row r="41">
      <c r="A41" t="inlineStr">
        <is>
          <t>S000218674985</t>
        </is>
      </c>
      <c r="B41" t="n">
        <v>40</v>
      </c>
      <c r="C41" t="inlineStr">
        <is>
          <t>2026 큰별쌤 최태성의 별별한국사 한국사능력검정시험 심화(1,2,3급)(하)</t>
        </is>
      </c>
      <c r="D41" t="inlineStr">
        <is>
          <t>"〈2026 큰별쌤 최태성의 별별한국사 한국사능력검정시험 심화 하〉
오랜 연구와 검증으로 한국사에 기초가 전혀 없는 사람도 단기간에 한능검에 합격할 수 있는 최적의 구성을 완성하였습니다. 판서의 장인 큰별쌤 최태성이 핵심만을 모아 만든 아트 판서를 수록하고, 시험에 자주 등장하는 사료, 사진, 지도 등을 모아 해설하여 합격을 위한 필수 개념을 익히기 쉽게 하였습니다. 또한, 한능검 기출문제를 모두 분석한 후, 기출 선택지를 이용한 별 채우기 문제를 수록하여 자연스럽게 기출 선택지가 기억될 수 있도록 하였고, 반복적으로 출제되는 주제의 최신 기출문제를 꼼꼼하고 친절한 해설과 함께 담아 실전에 대비할 수 있도록 하였습니다. 여기에 한국사 연표와 지역의 역사를 담은 지도를 통해 한국사 흐름잡기가 더욱 쉬울 것입니다.
제시된 이미지는 책의 뒷표지입니다.
〈2026 큰별쌤 최태성의 별별한국사 한국사능력검정시험 심화(1·2·3급) 하〉의 앞표지는 1억원 기부를 통해 사랑의 열매 '아너 소사이어티'에 가입되도록 함께 지원해 주신 최태성 1, 2TV 별님들로 구성되었습니다."</t>
        </is>
      </c>
      <c r="E41" t="inlineStr">
        <is>
          <t>최태성</t>
        </is>
      </c>
      <c r="F41" t="inlineStr">
        <is>
          <t>이투스북</t>
        </is>
      </c>
      <c r="G41" t="inlineStr">
        <is>
          <t>2025-12-09</t>
        </is>
      </c>
      <c r="H41" t="n">
        <v>18500</v>
      </c>
      <c r="I41" t="n">
        <v>16650</v>
      </c>
      <c r="J41" t="n">
        <v>10</v>
      </c>
      <c r="K41" t="n">
        <v>0</v>
      </c>
      <c r="L41" t="n">
        <v>311</v>
      </c>
      <c r="M41" t="n">
        <v>9.92</v>
      </c>
      <c r="N41" t="inlineStr">
        <is>
          <t>인문</t>
        </is>
      </c>
      <c r="O41" t="inlineStr">
        <is>
          <t>https://contents.kyobobook.co.kr/sih/fit-in/200x0/pdt/9791138934442.jpg</t>
        </is>
      </c>
    </row>
    <row r="42">
      <c r="A42" t="inlineStr">
        <is>
          <t>S000220241328</t>
        </is>
      </c>
      <c r="B42" t="n">
        <v>41</v>
      </c>
      <c r="C42" t="inlineStr">
        <is>
          <t>지적인 삶을 위한  열 가지 철학</t>
        </is>
      </c>
      <c r="D42" t="inlineStr">
        <is>
          <t>“왜 우리는 같은 말을 하면서도 끝없이 싸우는가?”
정의, 자유, 권력, 노동, 전쟁…
당연하다고 믿었던 단어들의 정체를 파헤치는
가장 지적인 ‘세계 해석 수업’
직장 회의실에서, 온라인 토론장에서, 심지어 가장 사적인 대화에서조차 우리는 문득 기묘한 단절감을 느낀다. 분명 같은 한국어로 대화하는데 논의는 평행선을 달리고, 격렬하게 부딪히면서도 정작 무엇 때문에 싸우는지 모호한 순간들. ‘말이 통하지 않는다’는 이 고질적인 감각의 원인은 무엇일까.
일본의 대표적인 대중 철학자 오카모토 유이치로 교수는 그 원인을 이렇게 진단한다. 우리는 똑같은 단어를 내뱉으면서도 머릿속으로는 전혀 다른 세계를 그리고 있다고. 대화가 깊어질수록 오해의 골만 깊어지는 ‘불통’의 시대인 이유다.
이 불통의 안개를 걷어 내기 위해 저자가 꺼내 든 도구는 다름 아닌 ‘철학’이다. 철학은 흔히 현실과 동떨어진 현학적 말장난으로 치부되지만, 사실 우리 사회를 움직이는 언어와 개념의 의미를 분석하는 가장 강력한 도구다. 마르크스 가브리엘이 “세계는 존재하지 않는다”고 선언할 때, 하이데거가 인간을 ‘세계 속의 존재’라고 규정할 때 여기서 중요한 것은 누가 옳고 그르냐가 아니다. 두 사람이 ‘세계’라는 단어 하나를 통해 각기 다른 맥락과 사유의 층위를 조명하고 있다는 사실, 바로 그것이다. 철학자들의 치열한 사유를 빌려 단어의 다층적 의미를 이해하는 과정은 사고의 혼란을 잠재우고 논리의 뼈대를 바로 세우는 강력한 무기가 된다.
이 책은 우리가 완전히 안다고 착각하는 열 가지 핵심 개념-정의·기술·권력·폭력·자유·노동·소외·국가·종교·전쟁-이 시대와 철학자에 따라 어떻게 변주되어 왔는지를 치밀하게 파고든다. 일상에서 숨 쉬듯 쓰는 단어이지만, 그 이면에는 인류 지성사가 부딪히며 쌓아 온 거대한 논쟁의 역사가 잠들어 있다. 존 롤스의 ‘공정함’과 아리스토텔레스의 ‘미덕’이 충돌하는 지점, 이사야 벌린이 말한 ‘소극적 자유’와 ‘적극적 자유’가 오늘날 우리의 선택을 어떻게 규정하는지를 짚어 내며 상식을 근본적으로 뒤흔든다. 당연했던 단어들이 가면을 벗고 낯선 얼굴을 드러내는 순간, 독자의 사고 지평은 비로소 넓어진다.
저자의 통찰은 과거의 박제된 철학에 머물지 않는다. 디지털 감시 체제와 미셸 푸코의 권력론을 연결하고, AI와 로봇 시대의 노동을 한나 아렌트의 시선으로 재해석하는 대목은 이 책이 왜 ‘지금, 여기를 살아가는 우리’를 위한 가장 실용적인 지침서인지를 증명한다. 방대한 철학사를 관통하면서도 무게에 눌리지 않는 저자 특유의 명쾌한 구조화 능력은 복잡한 세상을 단숨에 읽어 내고자 하는 현대인들에게 짜릿한 지적 쾌감을 선사할 것이다.
단어 하나를 제대로 정의한다는 것은 단순한 지식 습득을 넘어 세상을 보는 눈을 새롭게 벼리는 일이다. 이 책의 마지막 장을 덮고 나면, 이전과 똑같은 단어를 사용하면서도 전혀 다른 차원의 세계를 목격하게 된다. 상대방의 논리 너머에 숨겨진 진짜 의도를 꿰뚫어 보고, 모호한 감정이 아닌 명료한 언어로 자신만의 세계를 구축하고 싶은 이들에게 이 책은 가장 확실한 지도가 되어 줄 것이다.</t>
        </is>
      </c>
      <c r="E42" t="inlineStr">
        <is>
          <t>오카모토 유이치로</t>
        </is>
      </c>
      <c r="F42" t="inlineStr">
        <is>
          <t>이든서재</t>
        </is>
      </c>
      <c r="G42" t="inlineStr">
        <is>
          <t>2026-07-10</t>
        </is>
      </c>
      <c r="H42" t="n">
        <v>19800</v>
      </c>
      <c r="I42" t="n">
        <v>17820</v>
      </c>
      <c r="J42" t="n">
        <v>10</v>
      </c>
      <c r="K42" t="n">
        <v>0</v>
      </c>
      <c r="L42" t="n">
        <v>9</v>
      </c>
      <c r="M42" t="n">
        <v>10</v>
      </c>
      <c r="N42" t="inlineStr">
        <is>
          <t>인문</t>
        </is>
      </c>
      <c r="O42" t="inlineStr">
        <is>
          <t>https://contents.kyobobook.co.kr/sih/fit-in/200x0/pdt/9791194812234.jpg</t>
        </is>
      </c>
    </row>
    <row r="43">
      <c r="A43" t="inlineStr">
        <is>
          <t>S000218791156</t>
        </is>
      </c>
      <c r="B43" t="n">
        <v>42</v>
      </c>
      <c r="C43" t="inlineStr">
        <is>
          <t>ETS 토익 정기시험 기출문제집 1000 Vol 5 LC</t>
        </is>
      </c>
      <c r="D43" t="inlineStr">
        <is>
          <t>1. 최신 기출문제 전격 공개!
이 책에는 토익 정기시험 최신 기출문제 10회가 수록되어 있다. 시험에 나온 최신 기출문제로 실전 감각을 키워 시험에 확실하게 대비하자!
2. 실제 정기시험 성우 음성으로 실전 대비!
이 책에 수록된 10회의 LC 음원은 모두 정기시험 성우의 음원이다. 시험장에서 듣게 될 음성으로 공부하면 까다로운 영국식, 호주식 발음도 걱정 없다. 또한 강도 높은 학습을 위해 고속 버전과 소음 버전을 추가로 제공하며, YBM북스닷컴 출판 홈페이지 www.ybmbooks.com에서 무료로 다운로드 가능하다.
3 고난도 문항 무료 동영상 강의!
교재 내 QR코드는 해당 회차의 무료 동영상 강의로 연결된다. 오답률 높은 고난도 문항을 친절한 해설 강의와 함께 완벽 마스터하자!
4. 정확한 스크립트와 기출 포인트를 꿰뚫는 명쾌한 해설! 
최신 출제경향을 가장 정확하게 알 수 있는 기출문제를 풀고 정확한 스크립트와 출제 포인트가 보이는 명쾌한 해설로 토익을 정복해 보자!
5. ETS 토익 온라인/모바일 학습 지원!
온라인 학습 커뮤니티(www.etstoeicbook.co.kr)를 통해 교재 소개 및 학습 콘텐츠, 정기시험 대비특강을 지원한다. 또한 MP3 및 동영상 강의, 기출어휘 단어장, 기출테스트 채점/분석 등을 지원하는 토익 필수템 'ETS 토익기출 수험서 앱'으로 보다 스마트하게 학습해 보자!</t>
        </is>
      </c>
      <c r="E43" t="inlineStr">
        <is>
          <t>ETS</t>
        </is>
      </c>
      <c r="F43" t="inlineStr">
        <is>
          <t>YBM</t>
        </is>
      </c>
      <c r="G43" t="inlineStr">
        <is>
          <t>2025-12-15</t>
        </is>
      </c>
      <c r="H43" t="n">
        <v>22000</v>
      </c>
      <c r="I43" t="n">
        <v>19800</v>
      </c>
      <c r="J43" t="n">
        <v>10</v>
      </c>
      <c r="K43" t="n">
        <v>0</v>
      </c>
      <c r="L43" t="n">
        <v>241</v>
      </c>
      <c r="M43" t="n">
        <v>9.83</v>
      </c>
      <c r="N43" t="inlineStr">
        <is>
          <t>외국어</t>
        </is>
      </c>
      <c r="O43" t="inlineStr">
        <is>
          <t>https://contents.kyobobook.co.kr/sih/fit-in/200x0/pdt/9788917243796.jpg</t>
        </is>
      </c>
    </row>
    <row r="44">
      <c r="A44" t="inlineStr">
        <is>
          <t>S000219024597</t>
        </is>
      </c>
      <c r="B44" t="n">
        <v>43</v>
      </c>
      <c r="C44" t="inlineStr">
        <is>
          <t>읽는기도: 회개스캔</t>
        </is>
      </c>
      <c r="D44" t="inlineStr">
        <is>
          <t>『회개 스캔』은 회개하고 싶지만 고백의 말이 떠오르지 않아 끝내 침묵해 버린 이들을 위한 11일 기도책입니다. 회개는 ‘말을 잘하는 기술’이 아니라, 하나님 앞에서 죄를 숨기지 않고 돌이키는 마음의 결단입니다. 이 책은 성경 말씀으로 시작해, 막혀 있던 회개의 첫 문장을 열어 줍니다.
『회개 스캔』은 4단계 회개 여정으로 구성됩니다. 죄를 깨닫는 회개(Day1), 죄를 통회하는 회개(Day2), 죄에서 돌이키는 회개(Day3-10), 그리고 최고의 영광을 맞이하는 회개(Day11)까지. 하루 한 장씩 따라가며 회개의 길을 구체적으로 걸어가도록 안내합니다.
매일의 흐름은 말씀-묵상-회개기도문-대적기도와 선포-마음의 결단-실천 미션으로 이어집니다. 기도하다 멈춰 서던 사람도 자연스럽게 회개의 흐름 안으로 들어가, 조용히 읽고 묵상하며 소리 내어 기도하는 자리에서 결단과 실천으로 나아가게 됩니다. 11일의 여정을 따라 걷다 보면, 닫혀 있던 기도의 문이 다시 열릴 것입니다.</t>
        </is>
      </c>
      <c r="E44" t="inlineStr">
        <is>
          <t>무명의 기도자</t>
        </is>
      </c>
      <c r="F44" t="inlineStr">
        <is>
          <t>더하트</t>
        </is>
      </c>
      <c r="G44" t="inlineStr">
        <is>
          <t>2026-01-20</t>
        </is>
      </c>
      <c r="H44" t="n">
        <v>8800</v>
      </c>
      <c r="I44" t="n">
        <v>7920</v>
      </c>
      <c r="J44" t="n">
        <v>10</v>
      </c>
      <c r="K44" t="n">
        <v>0</v>
      </c>
      <c r="L44" t="n">
        <v>281</v>
      </c>
      <c r="M44" t="n">
        <v>9.789999999999999</v>
      </c>
      <c r="N44" t="inlineStr">
        <is>
          <t>종교</t>
        </is>
      </c>
      <c r="O44" t="inlineStr">
        <is>
          <t>https://contents.kyobobook.co.kr/sih/fit-in/200x0/pdt/9791194177487.jpg</t>
        </is>
      </c>
    </row>
    <row r="45">
      <c r="A45" t="inlineStr">
        <is>
          <t>S000220574035</t>
        </is>
      </c>
      <c r="B45" t="n">
        <v>44</v>
      </c>
      <c r="C45" t="inlineStr">
        <is>
          <t>너로 피어 꽃이 되다</t>
        </is>
      </c>
      <c r="D45" t="inlineStr">
        <is>
          <t>▶ 사이에서 피어나는 마음
이 책은 거창한 이야기로 시작하지 않는다. 특별한 사건이나 극적인 전환도 등장하지 않는다. 사소하고 조용한 장면들, 누구나 한 번쯤 지나왔을 법한 하루의 결에서 이야기를 길어 올린다. 출근길 횡단보도 위에 구르는 생각들, 저녁 무렵 강가를 달리다 부는 바람에 땀을 식히며 마음에 들어오는 감정들, 그리고 하루를 마무리하며 스스로를 돌아보는 짧은 순간들. 이 책은 그처럼 흘려버리면 아무것도 아니지만 손끝으로 튕기는 것들을 붙잡아 한 장 한 장 모아놓은 기록이다.
『너로 피어 꽃이 되다』는 삶의 정면을 설명하려 하지 않는다. 삶의 곁을 천천히 따라 걸으며, 그 안에서 마주한 감정과 깨달음을 조용히 건넨다. 설렘과 두려움이 동시에 존재하는 삶의 이중성, 그 속에서 흔들리면서도 끝내 앞으로 나아가려는 마음, 그리고 그 마음을 담담하게 펼치고 있다. 독자에게 무엇을 해야 한다 가르치려 들지 않는다. 다만 이렇게도 하루를 건너갈 수 있음을 말없이 보여준다.
글을 읽다 보면 그 중심에 ‘시간’이 있음을 발견한다. 흘러가다 멈추기도 하고 쌓이기도 하는 시간, 그리고 그 시간 속에서 조금씩 변화해 가는 삶의 모습이 그림처럼 그려진다. 하루하루는 쉽게 지나가 버리는 듯하지만, 그 하루들이 모여 결국 한 사람을 만들어 감을 환기시켜준다. 어떤 날은 견디는 것만으로 충분하고, 어떤 날은 한 걸음 나아가는 것으로 의미가 된다는 것을 보여준다. 그렇게 축적된 시간은 결국 하나의 방향을 만들어 내고, 그 방향 속에서 한 사람의 삶은 서서히 영글어간다.
이 책은 감정을 과장하지 않는 태도가 인상적이다. 기쁨은 조용히 번지고, 슬픔은 깊이 가라앉으며, 불안은 크게 소리 내지 않는다. 대신 그 모든 감정은 ‘흘려보내는 방식’으로 다루어진다. 두려움은 밀어내기보다는 조금씩 내려놓고, 지나가는 순간들은 붙잡기보다는 바라본다. 이러한 태도는 독자에게 위로를 강요하지 않으면서도 자연스럽게 마음을 가볍게 만든다. 글을 읽으며 읽는 사람이 스스로의 속도를 다시 찾게 하는 힘이 책 속에 담겨 있다.
또한 〈너로 피어 꽃이 되다〉는 ‘자기 수용’에 대한 이야기이기도 하다. 완전해지려는 노력보다는 지금의 상태를 인정하고, 더 나아가 그 상태를 끌어안는 용기를 중요하게 말하고 있다. 있는 그대로의 모습을 받아들이는 일이 쉽지 않지만, 그 과정을 통해 비로소 삶이 단단해진다는 메시지를 보여주고 있다. 실제로 살아낸 시간들을 통해 자연스럽게 말이다.
이 책에서는 일상에서 우리가 늘 만나는 것들이 중요한 역할을 한다. 책을 읽고 글을 쓰는 서재, 하루를 살아내는 사무실, 산책길에 만나는 꽃과 구름, 저녁 무렵 한강을 달리고 돌아오는 길에 만나는 석양, 이러한 세상이 단순한 배경이 아니라 사유가 시작되는 지점이 된다. 익숙한 공간 속에서 낯선 감정을 발견하고, 반복되는 하루 속에서 새로운 의미를 찾아내는 과정을 세밀하게 그리고 있다. 그래서 이 책을 읽다 보면 특별한 장소가 아닌, 지금 머물고 있는 자리에서도 충분히 깊은 생각이 가능하다는 사실을 자연스럽게 깨닫게 된다.
무엇보다 이 책은 ‘속도’에 대한 감각을 다시 생각하게 만든다. 빠르게 흘러가는 세상 속에서 조금 늦어도 괜찮다는 것, 멈춰 서는 시간 역시 삶의 일부라는 것, 그리고 때로는 아무것도 하지 않는 시간조차도 가장 중요한 순간이 될 수 있음을 일깨워 준다. 이러한 시선은 독자에게 경쟁이나 비교가 아닌, 자신의 호흡으로 살아가는 삶의 소중함을 생각하게 한다.
〈너로 피어 꽃이 되다〉라는 제목은 단순한 은유를 넘어 하나의 방향성을 담고 있다. 타인이나 환경에 의해 만들어지는 삶이 아니라, 스스로의 시간과 감정을 통해 서서히 피어나는 존재. 이 책은 그 과정을 ‘꽃이 되는 일’로 표현한다. 꽃은 하루아침에 피어나지 않는다. 보이지 않는 시간 속에서 준비되고, 계절을 지나며 서서히 모습을 드러낸다. 이 책에 담긴 문장들 역시 그러한 시간을 통과해 온 결과물이며, 그 자체로 하나의 성장의 기록이다.
이 책은 떠들썩한 목소리로 위로하지 않는다. 대신 작은 목소리로 우리 곁에 머물다 어느새 스며들게 한다. 읽고 나서도 쉽게 사라지지 않고, 일상의 어느 순간에 문득 떠오르는 문장으로 남는다. 하루를 살아내는 일이 버겁게 느껴질 때, 혹은 아무 이유 없이 마음이 흔들릴 때, 이 책은 조용히 곁에 앉아 함께 시간을 보내는 존재가 될 것이다.
〈너로 피어 꽃이 되다〉는 특별해지기 위한 이야기가 아니라, 이미 지나고 있는 시간을 다시 바라보게 하는 책이다. 그리고 그 시간을 통해 결국 자신을 이해하게 되는 과정을 담고 있다. 그렇게 한 사람의 하루는 조금씩 단단해지고, 그 하루들이 모여 하나의 삶이 된다.
이 책은 말한다. 삶은 거창한 변화가 아니라, 지금 이 자리에서 시작된다고. 그리고 그 시작은 이미 충분히 의미 있다고.</t>
        </is>
      </c>
      <c r="E45" t="inlineStr">
        <is>
          <t>온유경</t>
        </is>
      </c>
      <c r="F45" t="inlineStr">
        <is>
          <t>마음세상</t>
        </is>
      </c>
      <c r="G45" t="inlineStr">
        <is>
          <t>2026-08-14</t>
        </is>
      </c>
      <c r="H45" t="n">
        <v>17600</v>
      </c>
      <c r="I45" t="n">
        <v>15840</v>
      </c>
      <c r="J45" t="n">
        <v>10</v>
      </c>
      <c r="K45" t="n">
        <v>0</v>
      </c>
      <c r="L45" t="n">
        <v>11</v>
      </c>
      <c r="M45" t="n">
        <v>10</v>
      </c>
      <c r="N45" t="inlineStr">
        <is>
          <t>시/에세이</t>
        </is>
      </c>
      <c r="O45" t="inlineStr">
        <is>
          <t>https://contents.kyobobook.co.kr/sih/fit-in/200x0/pdt/9791156366713.jpg</t>
        </is>
      </c>
    </row>
    <row r="46">
      <c r="A46" t="inlineStr">
        <is>
          <t>S000219813469</t>
        </is>
      </c>
      <c r="B46" t="n">
        <v>45</v>
      </c>
      <c r="C46" t="inlineStr">
        <is>
          <t>완자 고등 세포와 물질대사(2026)</t>
        </is>
      </c>
      <c r="D46" t="inlineStr">
        <is>
          <t>- 2022개정 교육과정의 4종 교과서를 완벽 분석하여 세포와 물질대사의 핵심 개념을 쉽고 체계적으로 정리하였습니다. 
- 혼자서도 교과 개념을 익히고 내신 시험을 준비할 수 있는 ‘완벽한 자율 학습서’입니다.
- 고난도 문제로 내신 1등급에 도전할 수 있습니다.</t>
        </is>
      </c>
      <c r="E46" t="inlineStr">
        <is>
          <t>이영호 외</t>
        </is>
      </c>
      <c r="F46" t="inlineStr">
        <is>
          <t>비상교육</t>
        </is>
      </c>
      <c r="G46" t="inlineStr">
        <is>
          <t>2026-05-01</t>
        </is>
      </c>
      <c r="H46" t="n">
        <v>20000</v>
      </c>
      <c r="I46" t="n">
        <v>18000</v>
      </c>
      <c r="J46" t="n">
        <v>10</v>
      </c>
      <c r="K46" t="n">
        <v>0</v>
      </c>
      <c r="L46" t="n">
        <v>33</v>
      </c>
      <c r="M46" t="n">
        <v>9.83</v>
      </c>
      <c r="N46" t="inlineStr">
        <is>
          <t>중/고등참고서</t>
        </is>
      </c>
      <c r="O46" t="inlineStr">
        <is>
          <t>https://contents.kyobobook.co.kr/sih/fit-in/200x0/pdt/9791173167997.jpg</t>
        </is>
      </c>
    </row>
    <row r="47">
      <c r="A47" t="inlineStr">
        <is>
          <t>S000220568739</t>
        </is>
      </c>
      <c r="B47" t="n">
        <v>46</v>
      </c>
      <c r="C47" t="inlineStr">
        <is>
          <t>사고력을 키우는 수학의 힘</t>
        </is>
      </c>
      <c r="D47" t="inlineStr">
        <is>
          <t>많은 사람이 학창 시절 가장 어려웠던 과목으로 수학을 꼽는다. 처음에는 무난하게 따라가던 사람도 학년이 올라갈수록 수학이 낯설고 어렵게 느껴져 서서히 흥미를 잃는다. 시간을 들여 문제를 풀고 공식을 외워도 실력은 기대만큼 늘지 않고, 조금만 형태가 다른 문제를 만나면 어디서부터 접근해야 할지 막막해진다. 이로 인해 이른바 ‘수포자’, 수학을 포기한 사람도 적지 않을 것이다. 
이는 단순히 공부량이 부족해서 생기는 문제가 아니다. 우리는 오랫동안 수학을 ‘생각하는 학문’이라기보다 ‘암기해야 하는 과목’으로 배웠다. 무작정 공식과 풀이법만 줄줄 외워, 정작 그 공식이 어떻게 성립하는지, 어떤 원리로 문제가 전개되는지 충분히 이해하지 못한 경우가 많다. 그래서 익숙한 문제는 쉽게 풀어도 조금만 조건이 달라지면 배운 내용을 활용하지 못한다. 아무리 문제를 많이 풀어도 사고력은 충분히 성장하지 않는 이유가 바로 여기에 있다.
『사고력을 키우는 수학의 힘』은 이러한 문제의식에서 출발한다. 이 책은 중·고등학교 교육과정의 핵심 내용을 바탕으로 구성한 18개의 주제를 통해 수학을 새로운 시각에서 바라보도록 이끈다. 단순히 정답을 구하는 방법을 설명하는 데 그치지 않고, 왜 그런 답이 나오는지, 그 과정에서 어떤 사고가 이루어지는지를 함께 탐구한다. 도형과 식, 함수와 그래프를 ‘기하’와 ‘대수’라는 두 가지 관점에서 살펴보며 문제의 본질을 이해하도록 돕고, 수학 속에 숨어 있는 사고의 원리를 자연스럽게 발견하도록 안내한다.
공식이 아닌 생각의 원리를 배우다
“수학은 사고력의 언어다”
책의 각 장은 하나의 작은 질문에서 시작된다.
‘왜 삼각형의 내각의 합은 180도일까?’
‘마이너스와 마이너스를 곱하면 왜 플러스가 될까?’
‘함수 그래프는 왜 이런 모양을 가지는 걸까?’
이 책은 이러한 질문을 따라가며 정답을 암기하기보다 스스로 생각하고 추론하는 과정을 경험하도록 이끈다. 익숙하게 받아들였던 수학적 사실을 새로운 시선으로 바라보고, 그 원리를 하나씩 이해하는 과정에서 독자는 문제를 분석하고 사고하는 힘을 자연스럽게 키우게 된다. 수학은 계산 기술이 아니라 ‘세상을 이해하는 하나의 사고방식’이라는 점도 새롭게 발견하게 될 것이다.
또한 이 책은 수학을 공식과 정리의 집합으로만 다루지 않는다. 데카르트와 유클리드 같은 위대한 수학자들의 통찰을 소개하며 수학이 어떤 질문에서 출발해 어떻게 발전해 왔는지를 함께 살펴본다. 더 깊이 생각해 볼 수 있도록 책 곳곳에 마련한 ‘매스 토크(MATH TALK)’ 코너는 한 걸음 더 나아
가 수학의 개념을 다양한 관점에서 탐구하도록 돕는다. 이를 통해 독자는 수학을 단순한 계산의 기술이 아니라 논리와 
사고를 확장하는 ‘지적 도구’로 만나게 된다.
저자는 “문제 풀이란 결국 생각의 결과물이다”라고 말한다. 공식을 적용하는 기술만으로는 수학의 본질에 다가갈 수 없다. 중요한 것은 문제를 바라보는 관점과 원리를 이해하는 힘, 그리고 자신의 언어로 설명할 수 있는 사고력이다. 이러한 힘이 쌓일 때 수학은 더 이상 어려운 계산의 대상이 아니라, 세상을 이해하는 흥미로운 탐구의 대상이 된다.
『사고력을 키우는 수학의 힘』은 단순히 수학 지식을 전달하는 책이 아니다. 수학을 통해 생각하는 법을 배우고, 익숙한 개념을 새로운 시각으로 바라보도록 이끄는 책이다. 수학적 사고의 본질을 이해하는 순간, 독자는 문제를 푸는 능력을 넘어 세상을 바라보는 사고의 폭까지 한층 넓힐 수 있을 것이다.</t>
        </is>
      </c>
      <c r="E47" t="inlineStr">
        <is>
          <t>장허</t>
        </is>
      </c>
      <c r="F47" t="inlineStr">
        <is>
          <t>미디어숲</t>
        </is>
      </c>
      <c r="G47" t="inlineStr">
        <is>
          <t>2026-08-10</t>
        </is>
      </c>
      <c r="H47" t="n">
        <v>19800</v>
      </c>
      <c r="I47" t="n">
        <v>17820</v>
      </c>
      <c r="J47" t="n">
        <v>10</v>
      </c>
      <c r="K47" t="n">
        <v>0</v>
      </c>
      <c r="L47" t="n">
        <v>0</v>
      </c>
      <c r="M47" t="n">
        <v>0</v>
      </c>
      <c r="N47" t="inlineStr">
        <is>
          <t>과학</t>
        </is>
      </c>
      <c r="O47" t="inlineStr">
        <is>
          <t>https://contents.kyobobook.co.kr/sih/fit-in/200x0/pdt/9791158749385.jpg</t>
        </is>
      </c>
    </row>
    <row r="48">
      <c r="A48" t="inlineStr">
        <is>
          <t>S000220273799</t>
        </is>
      </c>
      <c r="B48" t="n">
        <v>47</v>
      </c>
      <c r="C48" t="inlineStr">
        <is>
          <t>미치도록 알고 싶은 아이디어 발상법</t>
        </is>
      </c>
      <c r="D48" t="inlineStr">
        <is>
          <t>이 책의 저자 나카가와 료는 세계 최대 규모의 광고대행사인 덴쓰의 카피라이터가 되어 번뜩이는 창의성으로 세계 시장을 주름잡고 싶었다. 하지만 막상 입사하고 나니, 현실은 예상과 달리 처참했다. 그는 사내 크리에이티브 테스트조차 통과하지 못해 기타 여러 부서를 전전해야 했다. 그렇게 무려 7년간 “왜 내가 떠올린 아이디어는 다른 사람들에게 한심해 보일까?”라는 질문의 답을 찾으려 씨름했다. 창의적인 발상력을 기르고자 해외 유명 공모전 수상작을 분석하고, 관련된 책을 모조리 찾아 읽으며 ‘어떻게 하면 사람의 마음을 움직이는 기획을 만들 수 있을지’ 연구하고 시험했다. 그리고 마침내 하나의 생각 회로, 창의력 공식을 완성했다.
그 성과는 놀라웠다. 회사 내에서도 창의성을 인정받지 못하던 저자는 세계적인 칸 광고제 ‘영 라이언즈 컴피티션’ 예선에서 우승해 일본 대표로 선발되었고, 아시아 대회인 ‘영 스파이크스 컴피티션’에서 본선 최고상을 받는 영예를 차지했다. 덴쓰에서도 대표 카피라이터로 활약하다가, 마침내 구글 크리에이티브 디렉터가 되어 싱가포르와 오스트레일리아에서 근무했다. 이 모든 것이 그가 완성한 창의력 공식 덕분이었다. 저자는 이 공식이 카피라이터나 전문 기획자에게만 도움이 되는 것은 아니라고 강조한다. 인생의 돌파구를 마련하고 싶거나, 효율적인 업무처리 능력을 개발하고 싶거나, 더 행복한 미래를 설계하고 싶은 모두에게 이 책은 분명 결정적인 전환점을 제공해 주리라 확신한다. 자신이 몸소 검증한 공식이기 때문이다.</t>
        </is>
      </c>
      <c r="E48" t="inlineStr">
        <is>
          <t>나카가와 료</t>
        </is>
      </c>
      <c r="F48" t="inlineStr">
        <is>
          <t>알토북스</t>
        </is>
      </c>
      <c r="G48" t="inlineStr">
        <is>
          <t>2026-07-10</t>
        </is>
      </c>
      <c r="H48" t="n">
        <v>17800</v>
      </c>
      <c r="I48" t="n">
        <v>16020</v>
      </c>
      <c r="J48" t="n">
        <v>10</v>
      </c>
      <c r="K48" t="n">
        <v>0</v>
      </c>
      <c r="L48" t="n">
        <v>6</v>
      </c>
      <c r="M48" t="n">
        <v>9.289999999999999</v>
      </c>
      <c r="N48" t="inlineStr">
        <is>
          <t>자기계발</t>
        </is>
      </c>
      <c r="O48" t="inlineStr">
        <is>
          <t>https://contents.kyobobook.co.kr/sih/fit-in/200x0/pdt/9791194655367.jpg</t>
        </is>
      </c>
    </row>
    <row r="49">
      <c r="A49" t="inlineStr">
        <is>
          <t>S000220110685</t>
        </is>
      </c>
      <c r="B49" t="n">
        <v>48</v>
      </c>
      <c r="C49" t="inlineStr">
        <is>
          <t>세상이 그대를 속일지라도</t>
        </is>
      </c>
      <c r="D49" t="inlineStr">
        <is>
          <t>사람들은 묻는다. “앞으로 우리 아이들은 무엇을 배워야 할까요? 인공지능이 떠오른다고 하니 주로 코딩을 공부해야 할까요?” 실제로 여러 고등학교나 대학교에서는 이미 특정 프로그램이나 기계 혹은 기술을 가르치는 데 오랜 시간을 할애하기도 한다. 하지만 인텔과 AMD에서 부사장을 지내고 애플과 테슬라에서 중책을 맡은 엔지니어 짐 켈러에 따르면, 이는 “미친 짓”이나 다름없다. 당장 몇 년 뒤면 대체되거나 바뀔 것들이기 때문이다. “기본이 항상 최고입니다.”
아마존의 창업자인 제프 베이조스는 어느 콘퍼런스에서 이런 말을 한다. “사람들은 저에게 앞으로 10년 뒤 무엇이 변할 것인지 묻습니다. 하지만 10년 뒤에도 변하지 않을 것이 무엇인지는 묻지 않습니다. 두 번째 질문이 훨씬 더 중요한데 말입니다.” 불안정하거나 위험한 계획과는 달리, 성공적인 계획은 언제나 변하는 것이 아닌 변하지 않는 것에 토대를 두고 있다는 말이다.
그러면 변하지 않는 기본은 무엇일까? tvN 예능 프로그램 〈알쓸신잡〉 시리즈로 유명한 ‘철학 하는 과학자’, 경희대학교 물리학과 김상욱 교수가 변치 않는 ‘자연법칙과 인간 본성’, ‘우리 안의 끝없는 욕망 혹은 편향’, ‘미래에 지속적인 영향을 미칠 역사’, 그 가운데 ‘끊임없이 가치나 의미를 부여하는 인간’이라는 네 가지 주제 아래 지금 같은 변화의 시대에 알아두면 쓸데 있는 변치 않을 진실을 전한다.
“물리학에서 가장 중요한 법칙 가운데 하나는 에너지 보존 법칙이다. 에너지는 그 형태를 바꿀 뿐 창조되거나 파괴되지 않는다. 초기 조건이 조금만 변해도 미래를 예측하기 어려워지는 카오스 계에서도 에너지는 변하지 않고 보존된다. 화학자는 화학반응 전후로 원자의 수, 질량, 전하량이 변하지 않는다는 사실을 이용하여 많은 것을 알아낸다.
변화의 시대다. 잠시 한눈팔면 따라가기도 버거운 세상이다. 변화의 예측이 어렵다면 변하지 않는 것부터 찾아봐야 하지 않을까. 물리학에서 가장 먼저 할 일은 에너지와 같이 변하지 않는 물리량들을 찾는 것이다. 변화의 시대, 변하지 않을 것부터 생각해 보면 어떨까.”</t>
        </is>
      </c>
      <c r="E49" t="inlineStr">
        <is>
          <t>김상욱</t>
        </is>
      </c>
      <c r="F49" t="inlineStr">
        <is>
          <t>동아시아</t>
        </is>
      </c>
      <c r="G49" t="inlineStr">
        <is>
          <t>2026-06-12</t>
        </is>
      </c>
      <c r="H49" t="n">
        <v>18000</v>
      </c>
      <c r="I49" t="n">
        <v>16200</v>
      </c>
      <c r="J49" t="n">
        <v>10</v>
      </c>
      <c r="K49" t="n">
        <v>0</v>
      </c>
      <c r="L49" t="n">
        <v>147</v>
      </c>
      <c r="M49" t="n">
        <v>9.74</v>
      </c>
      <c r="N49" t="inlineStr">
        <is>
          <t>과학</t>
        </is>
      </c>
      <c r="O49" t="inlineStr">
        <is>
          <t>https://contents.kyobobook.co.kr/sih/fit-in/200x0/pdt/9788962627145.jpg</t>
        </is>
      </c>
    </row>
    <row r="50">
      <c r="A50" t="inlineStr">
        <is>
          <t>S000219550327</t>
        </is>
      </c>
      <c r="B50" t="n">
        <v>49</v>
      </c>
      <c r="C50" t="inlineStr">
        <is>
          <t>내면 근력</t>
        </is>
      </c>
      <c r="D50" t="inlineStr">
        <is>
          <t>여기, 슬럼프에 빠진 사람에게 생애 최고의 ‘커리어 하이’를 안겨주는 멘탈 코치가 있다. 세계 정상급 선수들과 기업 리더들의 코치 짐 머피다. 그가 구축한 ‘내면 근력(Inner Excellence)’ 훈련은 올림픽 금메달리스트를 비롯한 세계적인 선수들과 수십만 독자들 사이에서 ‘인생을 바꾼 수련이자 철학’으로 불린다. 최근에는 미국 프로풋볼 선수 A.J. 브라운이 경기 도중 이 책을 읽으며 마음을 다잡는 장면이 화제가 되었고, 전 세계에 ‘내면 근력’ 신드롬이 번지는 계기가 됐다.
이토록 많은 이들이 『내면 근력』에 열광하는 이유는, 단기적인 성과가 아니라 내면의 중심을 근본적으로 재정립하는 변화를 만들어내기 때문이다. 이 책은 소유, 지위, 돈과 같은 외적 성공을 이루는 데 집중하지 않는다. 대신 통제할 수 없는 것에 대한 집착을 내려두고, 자신을 믿고 몰입하여 스스로 만든 한계를 넘어서게 돕는다. 그 결과 수많은 이들이 잠재력을 끌어올리고, 저점에서 고점으로 도약하며, 더 충만한 삶으로 나아가는 전환점을 경험했다.
저자 짐 머피는 오랜 시간 세계 정상급 선수들을 코칭하고 인간의 동기와 행동을 연구하며, 지속적인 성장을 가능하게 하는 조건을 깊이 탐구해왔다. 그가 도달한 결론은 명확하다. 탁월한 성취를 좌우하는 것은 타고난 재능이나 환경이 아니라, 자신의 감정과 생각을 인식하고 다스리는 힘, 그리고 실패를 성장의 과정으로 전환하는 능력이다. 우리는 누구나 비범한 잠재력을 지니고 있으며, 노력의 방향을 제대로 잡기만 하면 된다. 『내면 근력』은 바로 그 길을 안내하는 책이다. 
인생을 주도적으로 살아가고 싶은 이에게 내면 근력은 필수적인 토대다. 흔들림 없이 자기 길을 걸어가고 싶다면, 삶에서 단 한 번이라도 진정한 성취를 경험하고 싶다면, 이 책은 평생 곁에 두고 의지할 수 있는 든든한 지침서가 되어줄 것이다.</t>
        </is>
      </c>
      <c r="E50" t="inlineStr">
        <is>
          <t>짐 머피</t>
        </is>
      </c>
      <c r="F50" t="inlineStr">
        <is>
          <t>윌북</t>
        </is>
      </c>
      <c r="G50" t="inlineStr">
        <is>
          <t>2026-04-26</t>
        </is>
      </c>
      <c r="H50" t="n">
        <v>22000</v>
      </c>
      <c r="I50" t="n">
        <v>19800</v>
      </c>
      <c r="J50" t="n">
        <v>10</v>
      </c>
      <c r="K50" t="n">
        <v>0</v>
      </c>
      <c r="L50" t="n">
        <v>300</v>
      </c>
      <c r="M50" t="n">
        <v>9.69</v>
      </c>
      <c r="N50" t="inlineStr">
        <is>
          <t>자기계발</t>
        </is>
      </c>
      <c r="O50" t="inlineStr">
        <is>
          <t>https://contents.kyobobook.co.kr/sih/fit-in/200x0/pdt/9791155819227.jpg</t>
        </is>
      </c>
    </row>
    <row r="51">
      <c r="A51" t="inlineStr">
        <is>
          <t>S000219813405</t>
        </is>
      </c>
      <c r="B51" t="n">
        <v>50</v>
      </c>
      <c r="C51" t="inlineStr">
        <is>
          <t>완자 고등 역학과 에너지(2026)</t>
        </is>
      </c>
      <c r="D51" t="inlineStr">
        <is>
          <t>- 2022개정 교육과정의 4종 교과서를 완벽 분석하여 역학과 에너지 핵심 개념을 쉽고 체계적으로 정리하였습니다. 
- 혼자서도 교과 개념을 익히고 내신 시험을 준비할 수 있는 ‘완벽한 자율 학습서’입니다.
- 고난도 문제로 내신 1등급에 도전할 수 있습니다.</t>
        </is>
      </c>
      <c r="E51" t="inlineStr">
        <is>
          <t>장인수 외</t>
        </is>
      </c>
      <c r="F51" t="inlineStr">
        <is>
          <t>비상교육</t>
        </is>
      </c>
      <c r="G51" t="inlineStr">
        <is>
          <t>2026-05-01</t>
        </is>
      </c>
      <c r="H51" t="n">
        <v>20000</v>
      </c>
      <c r="I51" t="n">
        <v>18000</v>
      </c>
      <c r="J51" t="n">
        <v>10</v>
      </c>
      <c r="K51" t="n">
        <v>0</v>
      </c>
      <c r="L51" t="n">
        <v>39</v>
      </c>
      <c r="M51" t="n">
        <v>9.869999999999999</v>
      </c>
      <c r="N51" t="inlineStr">
        <is>
          <t>중/고등참고서</t>
        </is>
      </c>
      <c r="O51" t="inlineStr">
        <is>
          <t>https://contents.kyobobook.co.kr/sih/fit-in/200x0/pdt/9791173167973.jpg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2026-07-16T06:59:23Z</dcterms:created>
  <dcterms:modified xmlns:dcterms="http://purl.org/dc/terms/" xmlns:xsi="http://www.w3.org/2001/XMLSchema-instance" xsi:type="dcterms:W3CDTF">2026-07-16T06:59:23Z</dcterms:modified>
</cp:coreProperties>
</file>