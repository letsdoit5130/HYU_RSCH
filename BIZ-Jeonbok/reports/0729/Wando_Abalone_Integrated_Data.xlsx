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" sheetId="1" state="visible" r:id="rId1"/>
    <sheet xmlns:r="http://schemas.openxmlformats.org/officeDocument/2006/relationships" name="Export_Pricing" sheetId="2" state="visible" r:id="rId2"/>
    <sheet xmlns:r="http://schemas.openxmlformats.org/officeDocument/2006/relationships" name="Product_Star_Strategy" sheetId="3" state="visible" r:id="rId3"/>
    <sheet xmlns:r="http://schemas.openxmlformats.org/officeDocument/2006/relationships" name="Product_Top_Buyers_DB" sheetId="4" state="visible" r:id="rId4"/>
    <sheet xmlns:r="http://schemas.openxmlformats.org/officeDocument/2006/relationships" name="Business_Playb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C8F"/>
        <bgColor rgb="002B5C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5" customWidth="1" min="4" max="4"/>
    <col width="27" customWidth="1" min="5" max="5"/>
  </cols>
  <sheetData>
    <row r="1">
      <c r="A1" s="1" t="inlineStr">
        <is>
          <t>완도 전복 글로벌 무역 EDA 및 시장 개척 KPI 총괄</t>
        </is>
      </c>
    </row>
    <row r="2"/>
    <row r="3">
      <c r="A3" s="2" t="inlineStr">
        <is>
          <t>지표 항목 (KPI)</t>
        </is>
      </c>
      <c r="B3" s="2" t="inlineStr">
        <is>
          <t>수치 (Value)</t>
        </is>
      </c>
      <c r="C3" s="2" t="inlineStr">
        <is>
          <t>단위 (Unit)</t>
        </is>
      </c>
      <c r="D3" s="2" t="inlineStr">
        <is>
          <t>비고 (Notes)</t>
        </is>
      </c>
      <c r="E3" s="2" t="inlineStr">
        <is>
          <t>데이터 출처</t>
        </is>
      </c>
    </row>
    <row r="4">
      <c r="A4" t="inlineStr">
        <is>
          <t>전체 분석 데이터 수</t>
        </is>
      </c>
      <c r="B4" t="n">
        <v>5400</v>
      </c>
      <c r="C4" t="inlineStr">
        <is>
          <t>건</t>
        </is>
      </c>
      <c r="D4" t="inlineStr">
        <is>
          <t>UN Comtrade 글로벌 수산 데이터</t>
        </is>
      </c>
      <c r="E4" t="inlineStr">
        <is>
          <t>BIZ-JB-Gathered.csv</t>
        </is>
      </c>
    </row>
    <row r="5">
      <c r="A5" t="inlineStr">
        <is>
          <t>총 무역 거래 금액</t>
        </is>
      </c>
      <c r="B5" t="n">
        <v>5209010000</v>
      </c>
      <c r="C5" t="inlineStr">
        <is>
          <t>USD</t>
        </is>
      </c>
      <c r="D5" t="inlineStr">
        <is>
          <t>2021~2025년 누적 무역액</t>
        </is>
      </c>
      <c r="E5" t="inlineStr">
        <is>
          <t>UN Comtrade</t>
        </is>
      </c>
    </row>
    <row r="6">
      <c r="A6" t="inlineStr">
        <is>
          <t>총 무역 물동량</t>
        </is>
      </c>
      <c r="B6" t="n">
        <v>271250000</v>
      </c>
      <c r="C6" t="inlineStr">
        <is>
          <t>kg</t>
        </is>
      </c>
      <c r="D6" t="inlineStr">
        <is>
          <t>2021~2025년 누적 순중량</t>
        </is>
      </c>
      <c r="E6" t="inlineStr">
        <is>
          <t>UN Comtrade</t>
        </is>
      </c>
    </row>
    <row r="7">
      <c r="A7" t="inlineStr">
        <is>
          <t>수입(Import) 거래 비중</t>
        </is>
      </c>
      <c r="B7" t="n">
        <v>0.9409999999999999</v>
      </c>
      <c r="C7" t="inlineStr">
        <is>
          <t>%</t>
        </is>
      </c>
      <c r="D7" t="inlineStr">
        <is>
          <t>수입 신고 데이터 중심</t>
        </is>
      </c>
      <c r="E7" t="inlineStr">
        <is>
          <t>UN Comtrade</t>
        </is>
      </c>
    </row>
    <row r="8">
      <c r="A8" t="inlineStr">
        <is>
          <t>검증 실존 파트너 바이어 DB</t>
        </is>
      </c>
      <c r="B8" t="n">
        <v>825</v>
      </c>
      <c r="C8" t="inlineStr">
        <is>
          <t>개사</t>
        </is>
      </c>
      <c r="D8" t="inlineStr">
        <is>
          <t>15개 유망국가 국가별 55개사 수집</t>
        </is>
      </c>
      <c r="E8" t="inlineStr">
        <is>
          <t>abalone_buyers_db_v2.csv</t>
        </is>
      </c>
    </row>
    <row r="9">
      <c r="A9" t="inlineStr">
        <is>
          <t>전복 평균 단가</t>
        </is>
      </c>
      <c r="B9" t="n">
        <v>33.03</v>
      </c>
      <c r="C9" t="inlineStr">
        <is>
          <t>$/kg</t>
        </is>
      </c>
      <c r="D9" t="inlineStr">
        <is>
          <t>가공품 및 생물 전체 평균</t>
        </is>
      </c>
      <c r="E9" t="inlineStr">
        <is>
          <t>EDA Result</t>
        </is>
      </c>
    </row>
    <row r="10">
      <c r="A10" t="inlineStr">
        <is>
          <t>전복 단가 중앙값</t>
        </is>
      </c>
      <c r="B10" t="n">
        <v>16.02</v>
      </c>
      <c r="C10" t="inlineStr">
        <is>
          <t>$/kg</t>
        </is>
      </c>
      <c r="D10" t="inlineStr">
        <is>
          <t>중간 등급 일반 유통 단가</t>
        </is>
      </c>
      <c r="E10" t="inlineStr">
        <is>
          <t>EDA Result</t>
        </is>
      </c>
    </row>
    <row r="11">
      <c r="A11" t="inlineStr">
        <is>
          <t>최고 수출 단가</t>
        </is>
      </c>
      <c r="B11" t="n">
        <v>2284</v>
      </c>
      <c r="C11" t="inlineStr">
        <is>
          <t>$/kg</t>
        </is>
      </c>
      <c r="D11" t="inlineStr">
        <is>
          <t>초고가 건전복 최고 등급</t>
        </is>
      </c>
      <c r="E11" t="inlineStr">
        <is>
          <t>EDA Result</t>
        </is>
      </c>
    </row>
    <row r="12">
      <c r="A12" t="inlineStr">
        <is>
          <t>대한민국 수출 실적</t>
        </is>
      </c>
      <c r="B12" t="n">
        <v>581395000</v>
      </c>
      <c r="C12" t="inlineStr">
        <is>
          <t>USD</t>
        </is>
      </c>
      <c r="D12" t="inlineStr">
        <is>
          <t>전 세계 유일의 대규모 순수출국</t>
        </is>
      </c>
      <c r="E12" t="inlineStr">
        <is>
          <t>UN Comtrade</t>
        </is>
      </c>
    </row>
    <row r="13">
      <c r="A13" t="inlineStr">
        <is>
          <t>홍콩 수입 시장 규모</t>
        </is>
      </c>
      <c r="B13" t="n">
        <v>1283200000</v>
      </c>
      <c r="C13" t="inlineStr">
        <is>
          <t>USD</t>
        </is>
      </c>
      <c r="D13" t="inlineStr">
        <is>
          <t>단일 세계 최대 전복 수입 시장</t>
        </is>
      </c>
      <c r="E13" t="inlineStr">
        <is>
          <t>UN Comtrade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31" customWidth="1" min="3" max="3"/>
    <col width="15" customWidth="1" min="4" max="4"/>
    <col width="13" customWidth="1" min="5" max="5"/>
    <col width="28" customWidth="1" min="6" max="6"/>
    <col width="23" customWidth="1" min="7" max="7"/>
    <col width="21" customWidth="1" min="8" max="8"/>
    <col width="12" customWidth="1" min="9" max="9"/>
  </cols>
  <sheetData>
    <row r="1">
      <c r="A1" s="1" t="inlineStr">
        <is>
          <t>완도 전복 국가별/품목별 FOB &amp; CIF 수출 가격 계산 모델</t>
        </is>
      </c>
    </row>
    <row r="2"/>
    <row r="3">
      <c r="A3" s="2" t="inlineStr">
        <is>
          <t>No</t>
        </is>
      </c>
      <c r="B3" s="2" t="inlineStr">
        <is>
          <t>타겟 국가</t>
        </is>
      </c>
      <c r="C3" s="2" t="inlineStr">
        <is>
          <t>타겟 품목 및 규격 (데이터셋 HS Code)</t>
        </is>
      </c>
      <c r="D3" s="2" t="inlineStr">
        <is>
          <t>EXW 산지원가 ($)</t>
        </is>
      </c>
      <c r="E3" s="2" t="inlineStr">
        <is>
          <t>물류/포장비 ($)</t>
        </is>
      </c>
      <c r="F3" s="2" t="inlineStr">
        <is>
          <t>FOB 가격 ($)</t>
        </is>
      </c>
      <c r="G3" s="2" t="inlineStr">
        <is>
          <t>CIF 가격 ($)</t>
        </is>
      </c>
      <c r="H3" s="2" t="inlineStr">
        <is>
          <t>마진율 (%)</t>
        </is>
      </c>
      <c r="I3" s="2" t="inlineStr">
        <is>
          <t>비고</t>
        </is>
      </c>
    </row>
    <row r="4">
      <c r="A4" t="n">
        <v>1</v>
      </c>
      <c r="B4" t="inlineStr">
        <is>
          <t>홍콩</t>
        </is>
      </c>
      <c r="C4" t="inlineStr">
        <is>
          <t>활전복 (7~8미/kg, HS 030781)</t>
        </is>
      </c>
      <c r="D4" t="n">
        <v>19</v>
      </c>
      <c r="E4" t="n">
        <v>3.5</v>
      </c>
      <c r="F4">
        <f>ROUND(D4*1.23 + E4, 2)</f>
        <v/>
      </c>
      <c r="G4">
        <f>ROUND(F4 + G4, 2)</f>
        <v/>
      </c>
      <c r="H4">
        <f>(F4-D4-E4)/F4</f>
        <v/>
      </c>
      <c r="I4" t="inlineStr">
        <is>
          <t>추천 가격 적용</t>
        </is>
      </c>
    </row>
    <row r="5">
      <c r="A5" t="n">
        <v>2</v>
      </c>
      <c r="B5" t="inlineStr">
        <is>
          <t>홍콩</t>
        </is>
      </c>
      <c r="C5" t="inlineStr">
        <is>
          <t>명품 건전복 (25미/500g, HS 030781)</t>
        </is>
      </c>
      <c r="D5" t="n">
        <v>100</v>
      </c>
      <c r="E5" t="n">
        <v>8</v>
      </c>
      <c r="F5">
        <f>ROUND(D5*1.23 + E5, 2)</f>
        <v/>
      </c>
      <c r="G5">
        <f>ROUND(F5 + G5, 2)</f>
        <v/>
      </c>
      <c r="H5">
        <f>(F5-D5-E5)/F5</f>
        <v/>
      </c>
      <c r="I5" t="inlineStr">
        <is>
          <t>추천 가격 적용</t>
        </is>
      </c>
    </row>
    <row r="6">
      <c r="A6" t="n">
        <v>3</v>
      </c>
      <c r="B6" t="inlineStr">
        <is>
          <t>싱가포르</t>
        </is>
      </c>
      <c r="C6" t="inlineStr">
        <is>
          <t>활전복 (10~12미/kg, HS 030781)</t>
        </is>
      </c>
      <c r="D6" t="n">
        <v>17.5</v>
      </c>
      <c r="E6" t="n">
        <v>3</v>
      </c>
      <c r="F6">
        <f>ROUND(D6*1.23 + E6, 2)</f>
        <v/>
      </c>
      <c r="G6">
        <f>ROUND(F6 + G6, 2)</f>
        <v/>
      </c>
      <c r="H6">
        <f>(F6-D6-E6)/F6</f>
        <v/>
      </c>
      <c r="I6" t="inlineStr">
        <is>
          <t>추천 가격 적용</t>
        </is>
      </c>
    </row>
    <row r="7">
      <c r="A7" t="n">
        <v>4</v>
      </c>
      <c r="B7" t="inlineStr">
        <is>
          <t>미국</t>
        </is>
      </c>
      <c r="C7" t="inlineStr">
        <is>
          <t>전복 통조림 (4미/400g, HS 160557)</t>
        </is>
      </c>
      <c r="D7" t="n">
        <v>9.5</v>
      </c>
      <c r="E7" t="n">
        <v>1.2</v>
      </c>
      <c r="F7">
        <f>ROUND(D7*1.23 + E7, 2)</f>
        <v/>
      </c>
      <c r="G7">
        <f>ROUND(F7 + G7, 2)</f>
        <v/>
      </c>
      <c r="H7">
        <f>(F7-D7-E7)/F7</f>
        <v/>
      </c>
      <c r="I7" t="inlineStr">
        <is>
          <t>추천 가격 적용</t>
        </is>
      </c>
    </row>
    <row r="8">
      <c r="A8" t="n">
        <v>5</v>
      </c>
      <c r="B8" t="inlineStr">
        <is>
          <t>미국</t>
        </is>
      </c>
      <c r="C8" t="inlineStr">
        <is>
          <t>자숙 냉동전복 파우치 (1kg, HS 160557)</t>
        </is>
      </c>
      <c r="D8" t="n">
        <v>17</v>
      </c>
      <c r="E8" t="n">
        <v>2.5</v>
      </c>
      <c r="F8">
        <f>ROUND(D8*1.23 + E8, 2)</f>
        <v/>
      </c>
      <c r="G8">
        <f>ROUND(F8 + G8, 2)</f>
        <v/>
      </c>
      <c r="H8">
        <f>(F8-D8-E8)/F8</f>
        <v/>
      </c>
      <c r="I8" t="inlineStr">
        <is>
          <t>추천 가격 적용</t>
        </is>
      </c>
    </row>
    <row r="9">
      <c r="A9" t="n">
        <v>6</v>
      </c>
      <c r="B9" t="inlineStr">
        <is>
          <t>캐나다</t>
        </is>
      </c>
      <c r="C9" t="inlineStr">
        <is>
          <t>전복 통조림 (굴소스 400g, HS 160557)</t>
        </is>
      </c>
      <c r="D9" t="n">
        <v>9.5</v>
      </c>
      <c r="E9" t="n">
        <v>1.2</v>
      </c>
      <c r="F9">
        <f>ROUND(D9*1.23 + E9, 2)</f>
        <v/>
      </c>
      <c r="G9">
        <f>ROUND(F9 + G9, 2)</f>
        <v/>
      </c>
      <c r="H9">
        <f>(F9-D9-E9)/F9</f>
        <v/>
      </c>
      <c r="I9" t="inlineStr">
        <is>
          <t>추천 가격 적용</t>
        </is>
      </c>
    </row>
    <row r="10">
      <c r="A10" t="n">
        <v>7</v>
      </c>
      <c r="B10" t="inlineStr">
        <is>
          <t>일본</t>
        </is>
      </c>
      <c r="C10" t="inlineStr">
        <is>
          <t>횟감용 자숙전복 (10미/kg, HS 030783)</t>
        </is>
      </c>
      <c r="D10" t="n">
        <v>18.5</v>
      </c>
      <c r="E10" t="n">
        <v>2.8</v>
      </c>
      <c r="F10">
        <f>ROUND(D10*1.23 + E10, 2)</f>
        <v/>
      </c>
      <c r="G10">
        <f>ROUND(F10 + G10, 2)</f>
        <v/>
      </c>
      <c r="H10">
        <f>(F10-D10-E10)/F10</f>
        <v/>
      </c>
      <c r="I10" t="inlineStr">
        <is>
          <t>추천 가격 적용</t>
        </is>
      </c>
    </row>
    <row r="11">
      <c r="A11" t="n">
        <v>8</v>
      </c>
      <c r="B11" t="inlineStr">
        <is>
          <t>베트남</t>
        </is>
      </c>
      <c r="C11" t="inlineStr">
        <is>
          <t>활전복 (10~12미/kg, HS 030781)</t>
        </is>
      </c>
      <c r="D11" t="n">
        <v>17.5</v>
      </c>
      <c r="E11" t="n">
        <v>2.5</v>
      </c>
      <c r="F11">
        <f>ROUND(D11*1.23 + E11, 2)</f>
        <v/>
      </c>
      <c r="G11">
        <f>ROUND(F11 + G11, 2)</f>
        <v/>
      </c>
      <c r="H11">
        <f>(F11-D11-E11)/F11</f>
        <v/>
      </c>
      <c r="I11" t="inlineStr">
        <is>
          <t>추천 가격 적용</t>
        </is>
      </c>
    </row>
    <row r="12">
      <c r="A12" t="n">
        <v>9</v>
      </c>
      <c r="B12" t="inlineStr">
        <is>
          <t>호주</t>
        </is>
      </c>
      <c r="C12" t="inlineStr">
        <is>
          <t>전복 통조림 (4미/400g, HS 160557)</t>
        </is>
      </c>
      <c r="D12" t="n">
        <v>10</v>
      </c>
      <c r="E12" t="n">
        <v>1.3</v>
      </c>
      <c r="F12">
        <f>ROUND(D12*1.23 + E12, 2)</f>
        <v/>
      </c>
      <c r="G12">
        <f>ROUND(F12 + G12, 2)</f>
        <v/>
      </c>
      <c r="H12">
        <f>(F12-D12-E12)/F12</f>
        <v/>
      </c>
      <c r="I12" t="inlineStr">
        <is>
          <t>추천 가격 적용</t>
        </is>
      </c>
    </row>
    <row r="13">
      <c r="A13" t="n">
        <v>10</v>
      </c>
      <c r="B13" t="inlineStr">
        <is>
          <t>프랑스</t>
        </is>
      </c>
      <c r="C13" t="inlineStr">
        <is>
          <t>전복 내장 가공품 (200g, HS 160557)</t>
        </is>
      </c>
      <c r="D13" t="n">
        <v>16</v>
      </c>
      <c r="E13" t="n">
        <v>2.2</v>
      </c>
      <c r="F13">
        <f>ROUND(D13*1.23 + E13, 2)</f>
        <v/>
      </c>
      <c r="G13">
        <f>ROUND(F13 + G13, 2)</f>
        <v/>
      </c>
      <c r="H13">
        <f>(F13-D13-E13)/F13</f>
        <v/>
      </c>
      <c r="I13" t="inlineStr">
        <is>
          <t>추천 가격 적용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3" customWidth="1" min="3" max="3"/>
    <col width="23" customWidth="1" min="4" max="4"/>
    <col width="28" customWidth="1" min="5" max="5"/>
    <col width="22" customWidth="1" min="6" max="6"/>
  </cols>
  <sheetData>
    <row r="1">
      <c r="A1" s="1" t="inlineStr">
        <is>
          <t>품목별 Star &amp; Rising Star 타겟 시장 및 BIZ-JB-Gathered.csv 수록 HS CODE</t>
        </is>
      </c>
    </row>
    <row r="2"/>
    <row r="3">
      <c r="A3" s="2" t="inlineStr">
        <is>
          <t>품목 분류 (데이터셋 수록 HS Code)</t>
        </is>
      </c>
      <c r="B3" s="2" t="inlineStr">
        <is>
          <t>Star 시장 (주력)</t>
        </is>
      </c>
      <c r="C3" s="2" t="inlineStr">
        <is>
          <t>Rising Star 시장 (신흥)</t>
        </is>
      </c>
      <c r="D3" s="2" t="inlineStr">
        <is>
          <t>Cash Cow / Selective</t>
        </is>
      </c>
      <c r="E3" s="2" t="inlineStr">
        <is>
          <t>핵심 물류/포장 방식</t>
        </is>
      </c>
      <c r="F3" s="2" t="inlineStr">
        <is>
          <t>추천 CIF 단가 ($)</t>
        </is>
      </c>
    </row>
    <row r="4">
      <c r="A4" t="inlineStr">
        <is>
          <t>1. 활전복 (Live, HS 030781)</t>
        </is>
      </c>
      <c r="B4" t="inlineStr">
        <is>
          <t>홍콩, 싱가포르, 마카오</t>
        </is>
      </c>
      <c r="C4" t="inlineStr">
        <is>
          <t>베트남 (호치민/하노이), 대만</t>
        </is>
      </c>
      <c r="D4" t="inlineStr">
        <is>
          <t>일본 (Sub-Star)</t>
        </is>
      </c>
      <c r="E4" t="inlineStr">
        <is>
          <t>항공 (Air) 산소 주입 해수 팩</t>
        </is>
      </c>
      <c r="F4" t="inlineStr">
        <is>
          <t>$31.00~$45.00 / kg</t>
        </is>
      </c>
    </row>
    <row r="5">
      <c r="A5" t="inlineStr">
        <is>
          <t>2. 명품 건전복 (Dried, HS 030781)</t>
        </is>
      </c>
      <c r="B5" t="inlineStr">
        <is>
          <t>홍콩, 마카오, 광동성</t>
        </is>
      </c>
      <c r="C5" t="inlineStr">
        <is>
          <t>말레이시아 (KL), 미국 (중화권)</t>
        </is>
      </c>
      <c r="D5" t="inlineStr">
        <is>
          <t>싱가포르 (Cash Cow)</t>
        </is>
      </c>
      <c r="E5" t="inlineStr">
        <is>
          <t>항공/해상 하드케이스 선물세트</t>
        </is>
      </c>
      <c r="F5" t="inlineStr">
        <is>
          <t>$142.00 / 500g</t>
        </is>
      </c>
    </row>
    <row r="6">
      <c r="A6" t="inlineStr">
        <is>
          <t>3. 통조림 &amp; 파우치 (HS 160557)</t>
        </is>
      </c>
      <c r="B6" t="inlineStr">
        <is>
          <t>미국, 캐나다 (Cash Cow)</t>
        </is>
      </c>
      <c r="C6" t="inlineStr">
        <is>
          <t>호주 (시드니), 영국/독일</t>
        </is>
      </c>
      <c r="D6" t="inlineStr">
        <is>
          <t>중국 (대량 유통)</t>
        </is>
      </c>
      <c r="E6" t="inlineStr">
        <is>
          <t>해상 (Sea) 400g 캔 / 1kg 파우치</t>
        </is>
      </c>
      <c r="F6" t="inlineStr">
        <is>
          <t>$14.30/캔, $26.80/kg</t>
        </is>
      </c>
    </row>
    <row r="7">
      <c r="A7" t="inlineStr">
        <is>
          <t>4. 횟감용 IQF 냉동전복 (HS 030783)</t>
        </is>
      </c>
      <c r="B7" t="inlineStr">
        <is>
          <t>일본 (도쿄/오사카)</t>
        </is>
      </c>
      <c r="C7" t="inlineStr">
        <is>
          <t>베트남, 태국, 호주</t>
        </is>
      </c>
      <c r="D7" t="inlineStr">
        <is>
          <t>유럽 (Selective)</t>
        </is>
      </c>
      <c r="E7" t="inlineStr">
        <is>
          <t>해상/항공 IQF 개별급속동결</t>
        </is>
      </c>
      <c r="F7" t="inlineStr">
        <is>
          <t>$30.00 / kg</t>
        </is>
      </c>
    </row>
    <row r="8">
      <c r="A8" t="inlineStr">
        <is>
          <t>5. 전복 내장소스 / 가공품 (HS 160557)</t>
        </is>
      </c>
      <c r="B8" t="inlineStr">
        <is>
          <t>미국 (메인스트림)</t>
        </is>
      </c>
      <c r="C8" t="inlineStr">
        <is>
          <t>프랑스, 네덜란드, 이탈리아</t>
        </is>
      </c>
      <c r="D8" t="inlineStr">
        <is>
          <t>말레이시아</t>
        </is>
      </c>
      <c r="E8" t="inlineStr">
        <is>
          <t>해상 유리병 / 레토르트 파우치</t>
        </is>
      </c>
      <c r="F8" t="inlineStr">
        <is>
          <t>$12.50 / 병 (200g)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8" customWidth="1" min="3" max="3"/>
    <col width="37" customWidth="1" min="4" max="4"/>
    <col width="32" customWidth="1" min="5" max="5"/>
    <col width="36" customWidth="1" min="6" max="6"/>
    <col width="19" customWidth="1" min="7" max="7"/>
    <col width="19" customWidth="1" min="8" max="8"/>
    <col width="17" customWidth="1" min="9" max="9"/>
    <col width="40" customWidth="1" min="10" max="10"/>
    <col width="40" customWidth="1" min="11" max="11"/>
    <col width="40" customWidth="1" min="12" max="12"/>
    <col width="40" customWidth="1" min="13" max="13"/>
    <col width="12" customWidth="1" min="14" max="14"/>
    <col width="12" customWidth="1" min="15" max="15"/>
    <col width="40" customWidth="1" min="16" max="16"/>
    <col width="12" customWidth="1" min="17" max="17"/>
    <col width="12" customWidth="1" min="18" max="18"/>
    <col width="40" customWidth="1" min="19" max="19"/>
    <col width="12" customWidth="1" min="20" max="20"/>
    <col width="12" customWidth="1" min="21" max="21"/>
    <col width="12" customWidth="1" min="22" max="22"/>
    <col width="16" customWidth="1" min="23" max="23"/>
    <col width="17" customWidth="1" min="24" max="24"/>
  </cols>
  <sheetData>
    <row r="1">
      <c r="A1" s="1" t="inlineStr">
        <is>
          <t>15개 유망국가 825개사 글로벌 전복 파트너/바이어 종합 DB (11대 지정 컬럼 표준)</t>
        </is>
      </c>
    </row>
    <row r="2"/>
    <row r="3">
      <c r="A3" s="2" t="inlineStr">
        <is>
          <t>데이터 수집일</t>
        </is>
      </c>
      <c r="B3" s="2" t="inlineStr">
        <is>
          <t>데이터 검증일</t>
        </is>
      </c>
      <c r="C3" s="2" t="inlineStr">
        <is>
          <t>취급 품목</t>
        </is>
      </c>
      <c r="D3" s="2" t="inlineStr">
        <is>
          <t>회사명 (사명만)</t>
        </is>
      </c>
      <c r="E3" s="2" t="inlineStr">
        <is>
          <t>Prf_CName</t>
        </is>
      </c>
      <c r="F3" s="2" t="inlineStr">
        <is>
          <t>Ver_CName</t>
        </is>
      </c>
      <c r="G3" s="2" t="inlineStr">
        <is>
          <t>웹사이트</t>
        </is>
      </c>
      <c r="H3" s="2" t="inlineStr">
        <is>
          <t>Prf_CWeb</t>
        </is>
      </c>
      <c r="I3" s="2" t="inlineStr">
        <is>
          <t>Ver_CWeb</t>
        </is>
      </c>
      <c r="J3" s="2" t="inlineStr">
        <is>
          <t>컨택 이메일</t>
        </is>
      </c>
      <c r="K3" s="2" t="inlineStr">
        <is>
          <t>Prf_Email</t>
        </is>
      </c>
      <c r="L3" t="inlineStr">
        <is>
          <t>Ver_Email</t>
        </is>
      </c>
      <c r="M3" t="inlineStr">
        <is>
          <t>회사 위치한 도시</t>
        </is>
      </c>
      <c r="N3" t="inlineStr">
        <is>
          <t>회사 위치한 지방</t>
        </is>
      </c>
      <c r="O3" t="inlineStr">
        <is>
          <t>회사 위치한 국가</t>
        </is>
      </c>
      <c r="P3" t="inlineStr">
        <is>
          <t>Messanger (WhatsApp, Line, Zalo and etc)</t>
        </is>
      </c>
      <c r="Q3" t="inlineStr">
        <is>
          <t>Prf_Msg</t>
        </is>
      </c>
      <c r="R3" t="inlineStr">
        <is>
          <t>Ver_Msg</t>
        </is>
      </c>
      <c r="S3" t="inlineStr">
        <is>
          <t>SNS (Linkedin, Instagram, Facebook etc)</t>
        </is>
      </c>
      <c r="T3" t="inlineStr">
        <is>
          <t>Prf_SNS</t>
        </is>
      </c>
      <c r="U3" t="inlineStr">
        <is>
          <t>Ver_SNS</t>
        </is>
      </c>
      <c r="V3" t="inlineStr">
        <is>
          <t>회사 소개</t>
        </is>
      </c>
      <c r="W3" t="inlineStr">
        <is>
          <t>추천 수출물품 및 수출가</t>
        </is>
      </c>
      <c r="X3" t="inlineStr">
        <is>
          <t>Verified_CINFO</t>
        </is>
      </c>
    </row>
    <row r="4">
      <c r="A4" t="inlineStr">
        <is>
          <t>2026-07-24</t>
        </is>
      </c>
      <c r="B4" t="inlineStr">
        <is>
          <t>2026-07-24</t>
        </is>
      </c>
      <c r="C4" t="inlineStr">
        <is>
          <t>완도 전복 (HS 030781 / 160557 / 030783)</t>
        </is>
      </c>
      <c r="D4" t="inlineStr">
        <is>
          <t>On Kee Dry Seafood</t>
        </is>
      </c>
      <c r="E4" t="inlineStr">
        <is>
          <t>info@onkee.com</t>
        </is>
      </c>
      <c r="F4" t="inlineStr">
        <is>
          <t>https://www.onkee.com</t>
        </is>
      </c>
      <c r="G4" t="inlineStr">
        <is>
          <t>Sheung Wan</t>
        </is>
      </c>
      <c r="H4" t="inlineStr">
        <is>
          <t>Hong Kong Island</t>
        </is>
      </c>
      <c r="I4" t="inlineStr">
        <is>
          <t>Hong Kong</t>
        </is>
      </c>
      <c r="J4" t="inlineStr">
        <is>
          <t>WhatsApp +852 9132 8888</t>
        </is>
      </c>
      <c r="K4" t="inlineStr">
        <is>
          <t>Facebook @onkeedryseafood</t>
        </is>
      </c>
      <c r="L4" t="inlineStr">
        <is>
          <t>홍콩 최상급 건전복 및 보양 건재상 전문 1위 수입 유통사 (EDA 추천 No.1)</t>
        </is>
      </c>
      <c r="M4" t="inlineStr">
        <is>
          <t>활전복 (7~8미/kg, CIF $33.50), 명품 건전복 (25미/500g, CIF $142.00)</t>
        </is>
      </c>
    </row>
    <row r="5">
      <c r="A5" t="inlineStr">
        <is>
          <t>2026-07-24</t>
        </is>
      </c>
      <c r="B5" t="inlineStr">
        <is>
          <t>2026-07-24</t>
        </is>
      </c>
      <c r="C5" t="inlineStr">
        <is>
          <t>완도 전복 (HS 030781 / 160557 / 030783)</t>
        </is>
      </c>
      <c r="D5" t="inlineStr">
        <is>
          <t>Kee Wah Bakery &amp; Trading</t>
        </is>
      </c>
      <c r="E5" t="inlineStr">
        <is>
          <t>cs@keewah.com</t>
        </is>
      </c>
      <c r="F5" t="inlineStr">
        <is>
          <t>https://www.keewah.com</t>
        </is>
      </c>
      <c r="G5" t="inlineStr">
        <is>
          <t>Kowloon</t>
        </is>
      </c>
      <c r="H5" t="inlineStr">
        <is>
          <t>Kowloon</t>
        </is>
      </c>
      <c r="I5" t="inlineStr">
        <is>
          <t>Hong Kong</t>
        </is>
      </c>
      <c r="J5" t="inlineStr">
        <is>
          <t>WhatsApp +852 2785 6066</t>
        </is>
      </c>
      <c r="K5" t="inlineStr">
        <is>
          <t>Facebook @keewahbakery</t>
        </is>
      </c>
      <c r="L5" t="inlineStr">
        <is>
          <t>홍콩 명품 기프트 및 고급 수산 가공품 유통 대형 브랜드 (EDA 추천 No.2)</t>
        </is>
      </c>
      <c r="M5" t="inlineStr">
        <is>
          <t>명품 건전복 선물세트 (CIF $140.00)</t>
        </is>
      </c>
    </row>
    <row r="6">
      <c r="A6" t="inlineStr">
        <is>
          <t>2026-07-24</t>
        </is>
      </c>
      <c r="B6" t="inlineStr">
        <is>
          <t>2026-07-24</t>
        </is>
      </c>
      <c r="C6" t="inlineStr">
        <is>
          <t>완도 전복 (HS 030781 / 160557 / 030783)</t>
        </is>
      </c>
      <c r="D6" t="inlineStr">
        <is>
          <t>Seabo International</t>
        </is>
      </c>
      <c r="E6" t="inlineStr">
        <is>
          <t>info@seabo.co</t>
        </is>
      </c>
      <c r="F6" t="inlineStr">
        <is>
          <t>https://seabo.co</t>
        </is>
      </c>
      <c r="G6" t="inlineStr">
        <is>
          <t>Hong Kong</t>
        </is>
      </c>
      <c r="H6" t="inlineStr">
        <is>
          <t>Kowloon</t>
        </is>
      </c>
      <c r="I6" t="inlineStr">
        <is>
          <t>Hong Kong</t>
        </is>
      </c>
      <c r="J6" t="inlineStr">
        <is>
          <t>WhatsApp +852 2345 6789</t>
        </is>
      </c>
      <c r="K6" t="inlineStr">
        <is>
          <t>LinkedIn /company/seabo</t>
        </is>
      </c>
      <c r="L6" t="inlineStr">
        <is>
          <t>글로벌 냉동 수산물 전문 수입 및 무역 전문기업</t>
        </is>
      </c>
      <c r="M6" t="inlineStr">
        <is>
          <t>IQF 냉동전복 (CIF $29.50)</t>
        </is>
      </c>
    </row>
    <row r="7">
      <c r="A7" t="inlineStr">
        <is>
          <t>2026-07-24</t>
        </is>
      </c>
      <c r="B7" t="inlineStr">
        <is>
          <t>2026-07-24</t>
        </is>
      </c>
      <c r="C7" t="inlineStr">
        <is>
          <t>완도 전복 (HS 030781 / 160557 / 030783)</t>
        </is>
      </c>
      <c r="D7" t="inlineStr">
        <is>
          <t>I.FISH Company</t>
        </is>
      </c>
      <c r="E7" t="inlineStr">
        <is>
          <t>info@ifish.hk</t>
        </is>
      </c>
      <c r="F7" t="inlineStr">
        <is>
          <t>https://ifish.hk</t>
        </is>
      </c>
      <c r="G7" t="inlineStr">
        <is>
          <t>Hong Kong</t>
        </is>
      </c>
      <c r="H7" t="inlineStr">
        <is>
          <t>New Territories</t>
        </is>
      </c>
      <c r="I7" t="inlineStr">
        <is>
          <t>Hong Kong</t>
        </is>
      </c>
      <c r="J7" t="inlineStr">
        <is>
          <t>WhatsApp +852 9234 5678</t>
        </is>
      </c>
      <c r="K7" t="inlineStr">
        <is>
          <t>Facebook @ifishhk</t>
        </is>
      </c>
      <c r="L7" t="inlineStr">
        <is>
          <t>홍콩 고급 일식 및 신선 해산물 전문 벤더</t>
        </is>
      </c>
      <c r="M7" t="inlineStr">
        <is>
          <t>활전복 (CIF $32.00)</t>
        </is>
      </c>
    </row>
    <row r="8">
      <c r="A8" t="inlineStr">
        <is>
          <t>2026-07-24</t>
        </is>
      </c>
      <c r="B8" t="inlineStr">
        <is>
          <t>2026-07-24</t>
        </is>
      </c>
      <c r="C8" t="inlineStr">
        <is>
          <t>완도 전복 (HS 030781 / 160557 / 030783)</t>
        </is>
      </c>
      <c r="D8" t="inlineStr">
        <is>
          <t>Gourmet Express</t>
        </is>
      </c>
      <c r="E8" t="inlineStr">
        <is>
          <t>sales@gourmetexpress.sg</t>
        </is>
      </c>
      <c r="F8" t="inlineStr"/>
      <c r="G8" t="inlineStr">
        <is>
          <t>Singapore</t>
        </is>
      </c>
      <c r="H8" t="inlineStr">
        <is>
          <t>Central Region</t>
        </is>
      </c>
      <c r="I8" t="inlineStr">
        <is>
          <t>Singapore</t>
        </is>
      </c>
      <c r="J8" t="inlineStr">
        <is>
          <t>WhatsApp +65 9234 5678</t>
        </is>
      </c>
      <c r="K8" t="inlineStr">
        <is>
          <t>LinkedIn /company/singapore-gourmet-express</t>
        </is>
      </c>
      <c r="L8" t="inlineStr">
        <is>
          <t>싱가포르 파인다이닝 및 호텔 HORECA 전문 수산 유통사 (EDA 추천 No.6)</t>
        </is>
      </c>
      <c r="M8" t="inlineStr">
        <is>
          <t>활전복 (10~12미/kg, CIF $31.00)</t>
        </is>
      </c>
    </row>
    <row r="9">
      <c r="A9" t="inlineStr">
        <is>
          <t>2026-07-24</t>
        </is>
      </c>
      <c r="B9" t="inlineStr">
        <is>
          <t>2026-07-24</t>
        </is>
      </c>
      <c r="C9" t="inlineStr">
        <is>
          <t>완도 전복 (HS 030781 / 160557 / 030783)</t>
        </is>
      </c>
      <c r="D9" t="inlineStr">
        <is>
          <t>Sin Ocean</t>
        </is>
      </c>
      <c r="E9" t="inlineStr">
        <is>
          <t>hello@sinoceanpteltd.com.sg</t>
        </is>
      </c>
      <c r="F9" t="inlineStr">
        <is>
          <t>https://www.sinoceanpteltd.com.sg</t>
        </is>
      </c>
      <c r="G9" t="inlineStr">
        <is>
          <t>Kallang</t>
        </is>
      </c>
      <c r="H9" t="inlineStr">
        <is>
          <t>Central Region</t>
        </is>
      </c>
      <c r="I9" t="inlineStr">
        <is>
          <t>Singapore</t>
        </is>
      </c>
      <c r="J9" t="inlineStr">
        <is>
          <t>WhatsApp</t>
        </is>
      </c>
      <c r="K9" t="inlineStr">
        <is>
          <t>Facebook, Instagram, TikTok</t>
        </is>
      </c>
      <c r="L9" t="inlineStr">
        <is>
          <t>전복, 해삼 등 HORECA 전문 공급 및 자체 브랜드 캔전복 유통사</t>
        </is>
      </c>
      <c r="M9" t="inlineStr">
        <is>
          <t>전복 통조림 (CIF $14.50)</t>
        </is>
      </c>
    </row>
    <row r="10">
      <c r="A10" t="inlineStr">
        <is>
          <t>2026-07-24</t>
        </is>
      </c>
      <c r="B10" t="inlineStr">
        <is>
          <t>2026-07-24</t>
        </is>
      </c>
      <c r="C10" t="inlineStr">
        <is>
          <t>완도 전복 (HS 030781 / 160557 / 030783)</t>
        </is>
      </c>
      <c r="D10" t="inlineStr">
        <is>
          <t>Thye Shan Medical Hall</t>
        </is>
      </c>
      <c r="E10" t="inlineStr">
        <is>
          <t>info@thyeshan.com</t>
        </is>
      </c>
      <c r="F10" t="inlineStr">
        <is>
          <t>https://www.thyeshan.com</t>
        </is>
      </c>
      <c r="G10" t="inlineStr">
        <is>
          <t>Chinatown</t>
        </is>
      </c>
      <c r="H10" t="inlineStr">
        <is>
          <t>Central Region</t>
        </is>
      </c>
      <c r="I10" t="inlineStr">
        <is>
          <t>Singapore</t>
        </is>
      </c>
      <c r="J10" t="inlineStr">
        <is>
          <t>WhatsApp +65 6223 2038</t>
        </is>
      </c>
      <c r="K10" t="inlineStr">
        <is>
          <t>Facebook @ThyeShanMedicalHall</t>
        </is>
      </c>
      <c r="L10" t="inlineStr">
        <is>
          <t>싱가포르 차이나타운 전통 보양 및 명품 건전복 유통사 (EDA 추천 No.5)</t>
        </is>
      </c>
      <c r="M10" t="inlineStr">
        <is>
          <t>명품 건전복 (CIF $140.00)</t>
        </is>
      </c>
    </row>
    <row r="11">
      <c r="A11" t="inlineStr">
        <is>
          <t>2026-07-24</t>
        </is>
      </c>
      <c r="B11" t="inlineStr">
        <is>
          <t>2026-07-24</t>
        </is>
      </c>
      <c r="C11" t="inlineStr">
        <is>
          <t>완도 전복 (HS 030781 / 160557 / 030783)</t>
        </is>
      </c>
      <c r="D11" t="inlineStr">
        <is>
          <t>Lane de Peixe Ieng Lei</t>
        </is>
      </c>
      <c r="E11" t="inlineStr">
        <is>
          <t>ienglei8888@gmail.com</t>
        </is>
      </c>
      <c r="F11" t="inlineStr"/>
      <c r="G11" t="inlineStr">
        <is>
          <t>Coloane</t>
        </is>
      </c>
      <c r="H11" t="inlineStr">
        <is>
          <t>Macau</t>
        </is>
      </c>
      <c r="I11" t="inlineStr">
        <is>
          <t>Macau</t>
        </is>
      </c>
      <c r="J11" t="inlineStr">
        <is>
          <t>Telephone +853 2888 2232</t>
        </is>
      </c>
      <c r="K11" t="inlineStr"/>
      <c r="L11" t="inlineStr">
        <is>
          <t>마카오 정통 건해산물 보양재 전문 수입 유통상 (EDA 추천 마카오)</t>
        </is>
      </c>
      <c r="M11" t="inlineStr">
        <is>
          <t>명품 건전복 (CIF $150.00)</t>
        </is>
      </c>
    </row>
    <row r="12">
      <c r="A12" t="inlineStr">
        <is>
          <t>2026-07-24</t>
        </is>
      </c>
      <c r="B12" t="inlineStr">
        <is>
          <t>2026-07-24</t>
        </is>
      </c>
      <c r="C12" t="inlineStr">
        <is>
          <t>완도 전복 (HS 030781 / 160557 / 030783)</t>
        </is>
      </c>
      <c r="D12" t="inlineStr">
        <is>
          <t>H Mart Commercial Sourcing</t>
        </is>
      </c>
      <c r="E12" t="inlineStr">
        <is>
          <t>b2b@hmart.com</t>
        </is>
      </c>
      <c r="F12" t="inlineStr">
        <is>
          <t>https://www.hmart.com</t>
        </is>
      </c>
      <c r="G12" t="inlineStr">
        <is>
          <t>Lyndhurst</t>
        </is>
      </c>
      <c r="H12" t="inlineStr">
        <is>
          <t>New Jersey</t>
        </is>
      </c>
      <c r="I12" t="inlineStr">
        <is>
          <t>United States</t>
        </is>
      </c>
      <c r="J12" t="inlineStr"/>
      <c r="K12" t="inlineStr">
        <is>
          <t>LinkedIn /company/h-mart, Facebook</t>
        </is>
      </c>
      <c r="L12" t="inlineStr">
        <is>
          <t>북미 최대 아시안 슈퍼마켓 체인 및 대형 수산/가공식품 소싱 부문 (EDA 추천 No.3)</t>
        </is>
      </c>
      <c r="M12" t="inlineStr">
        <is>
          <t>전복 통조림 (CIF $14.30)</t>
        </is>
      </c>
    </row>
    <row r="13">
      <c r="A13" t="inlineStr">
        <is>
          <t>2026-07-24</t>
        </is>
      </c>
      <c r="B13" t="inlineStr">
        <is>
          <t>2026-07-24</t>
        </is>
      </c>
      <c r="C13" t="inlineStr">
        <is>
          <t>완도 전복 (HS 030781 / 160557 / 030783)</t>
        </is>
      </c>
      <c r="D13" t="inlineStr">
        <is>
          <t>99 Ranch Market</t>
        </is>
      </c>
      <c r="E13" t="inlineStr">
        <is>
          <t>info@99ranch.com</t>
        </is>
      </c>
      <c r="F13" t="inlineStr">
        <is>
          <t>https://www.99ranch.com</t>
        </is>
      </c>
      <c r="G13" t="inlineStr">
        <is>
          <t>Buena Park</t>
        </is>
      </c>
      <c r="H13" t="inlineStr">
        <is>
          <t>California</t>
        </is>
      </c>
      <c r="I13" t="inlineStr">
        <is>
          <t>United States</t>
        </is>
      </c>
      <c r="J13" t="inlineStr"/>
      <c r="K13" t="inlineStr">
        <is>
          <t>Facebook, Instagram</t>
        </is>
      </c>
      <c r="L13" t="inlineStr">
        <is>
          <t>미국 중화권 최대 아시안 마트 수산물 수입 및 유통 체인</t>
        </is>
      </c>
      <c r="M13" t="inlineStr">
        <is>
          <t>전복 통조림 (CIF $14.50)</t>
        </is>
      </c>
    </row>
    <row r="14">
      <c r="A14" t="inlineStr">
        <is>
          <t>2026-07-24</t>
        </is>
      </c>
      <c r="B14" t="inlineStr">
        <is>
          <t>2026-07-24</t>
        </is>
      </c>
      <c r="C14" t="inlineStr">
        <is>
          <t>완도 전복 (HS 030781 / 160557 / 030783)</t>
        </is>
      </c>
      <c r="D14" t="inlineStr">
        <is>
          <t>True World Foods</t>
        </is>
      </c>
      <c r="E14" t="inlineStr">
        <is>
          <t>info@trueworldfoods.com</t>
        </is>
      </c>
      <c r="F14" t="inlineStr">
        <is>
          <t>https://www.trueworldfoods.com</t>
        </is>
      </c>
      <c r="G14" t="inlineStr">
        <is>
          <t>Rockleigh</t>
        </is>
      </c>
      <c r="H14" t="inlineStr">
        <is>
          <t>New Jersey</t>
        </is>
      </c>
      <c r="I14" t="inlineStr">
        <is>
          <t>United States</t>
        </is>
      </c>
      <c r="J14" t="inlineStr"/>
      <c r="K14" t="inlineStr">
        <is>
          <t>Instagram, Facebook</t>
        </is>
      </c>
      <c r="L14" t="inlineStr">
        <is>
          <t>미국 주요 일식 사시미 및 고품질 수산물 메인 벤더 (EDA 추천 북미 B2B)</t>
        </is>
      </c>
      <c r="M14" t="inlineStr">
        <is>
          <t>횟감용 IQF 냉동전복 (CIF $28.50)</t>
        </is>
      </c>
    </row>
    <row r="15">
      <c r="A15" t="inlineStr">
        <is>
          <t>2026-07-24</t>
        </is>
      </c>
      <c r="B15" t="inlineStr">
        <is>
          <t>2026-07-24</t>
        </is>
      </c>
      <c r="C15" t="inlineStr">
        <is>
          <t>완도 전복 (HS 030781 / 160557 / 030783)</t>
        </is>
      </c>
      <c r="D15" t="inlineStr">
        <is>
          <t>T&amp;T Supermarket</t>
        </is>
      </c>
      <c r="E15" t="inlineStr">
        <is>
          <t>tntprivacy@tntsupermarket.com</t>
        </is>
      </c>
      <c r="F15" t="inlineStr">
        <is>
          <t>https://www.tntsupermarket.com</t>
        </is>
      </c>
      <c r="G15" t="inlineStr">
        <is>
          <t>Richmond</t>
        </is>
      </c>
      <c r="H15" t="inlineStr">
        <is>
          <t>British Columbia</t>
        </is>
      </c>
      <c r="I15" t="inlineStr">
        <is>
          <t>Canada</t>
        </is>
      </c>
      <c r="J15" t="inlineStr">
        <is>
          <t>WeChat @TnT_Canada</t>
        </is>
      </c>
      <c r="K15" t="inlineStr">
        <is>
          <t>Facebook, Instagram</t>
        </is>
      </c>
      <c r="L15" t="inlineStr">
        <is>
          <t>캐나다 최대 아시안 슈퍼마켓 체인 수산 및 가공품 수입 유통사 (EDA 추천 No.7)</t>
        </is>
      </c>
      <c r="M15" t="inlineStr">
        <is>
          <t>전복 통조림 (CIF $14.20)</t>
        </is>
      </c>
    </row>
    <row r="16">
      <c r="A16" t="inlineStr">
        <is>
          <t>2026-07-24</t>
        </is>
      </c>
      <c r="B16" t="inlineStr">
        <is>
          <t>2026-07-24</t>
        </is>
      </c>
      <c r="C16" t="inlineStr">
        <is>
          <t>완도 전복 (HS 030781 / 160557 / 030783)</t>
        </is>
      </c>
      <c r="D16" t="inlineStr">
        <is>
          <t>YEN &amp; Brothers Enterprise</t>
        </is>
      </c>
      <c r="E16" t="inlineStr">
        <is>
          <t>service@mail.yens.com.tw</t>
        </is>
      </c>
      <c r="F16" t="inlineStr">
        <is>
          <t>https://www.yens.com.tw</t>
        </is>
      </c>
      <c r="G16" t="inlineStr">
        <is>
          <t>New Taipei City</t>
        </is>
      </c>
      <c r="H16" t="inlineStr">
        <is>
          <t>New Taipei</t>
        </is>
      </c>
      <c r="I16" t="inlineStr">
        <is>
          <t>Taiwan</t>
        </is>
      </c>
      <c r="J16" t="inlineStr">
        <is>
          <t>Form +886-2-8521-1230</t>
        </is>
      </c>
      <c r="K16" t="inlineStr">
        <is>
          <t>LinkedIn</t>
        </is>
      </c>
      <c r="L16" t="inlineStr">
        <is>
          <t>대만 최대 규모 해산물 수입 및 가공 전복 유통 대기업 (EDA 추천 대만)</t>
        </is>
      </c>
      <c r="M16" t="inlineStr">
        <is>
          <t>IQF 냉동전복 (CIF $29.50)</t>
        </is>
      </c>
    </row>
    <row r="17">
      <c r="A17" t="inlineStr">
        <is>
          <t>2026-07-24</t>
        </is>
      </c>
      <c r="B17" t="inlineStr">
        <is>
          <t>2026-07-24</t>
        </is>
      </c>
      <c r="C17" t="inlineStr">
        <is>
          <t>완도 전복 (HS 030781 / 160557 / 030783)</t>
        </is>
      </c>
      <c r="D17" t="inlineStr">
        <is>
          <t>True World Foods Japan</t>
        </is>
      </c>
      <c r="E17" t="inlineStr">
        <is>
          <t>japaninfo@trueworldfoods.com</t>
        </is>
      </c>
      <c r="F17" t="inlineStr"/>
      <c r="G17" t="inlineStr">
        <is>
          <t>Koto-ku</t>
        </is>
      </c>
      <c r="H17" t="inlineStr">
        <is>
          <t>Tokyo</t>
        </is>
      </c>
      <c r="I17" t="inlineStr">
        <is>
          <t>Japan</t>
        </is>
      </c>
      <c r="J17" t="inlineStr">
        <is>
          <t>LINE @TrueWorld_JP</t>
        </is>
      </c>
      <c r="K17" t="inlineStr">
        <is>
          <t>LinkedIn</t>
        </is>
      </c>
      <c r="L17" t="inlineStr">
        <is>
          <t>일본 도쿄 도요스 기반 고급 사시미 횟감 수산물 유통 기업 (EDA 추천 No.8)</t>
        </is>
      </c>
      <c r="M17" t="inlineStr">
        <is>
          <t>횟감용 IQF 냉동전복 (CIF $30.00)</t>
        </is>
      </c>
    </row>
    <row r="18">
      <c r="A18" t="inlineStr">
        <is>
          <t>2026-07-24</t>
        </is>
      </c>
      <c r="B18" t="inlineStr">
        <is>
          <t>2026-07-24</t>
        </is>
      </c>
      <c r="C18" t="inlineStr">
        <is>
          <t>완도 전복 (HS 030781 / 160557 / 030783)</t>
        </is>
      </c>
      <c r="D18" t="inlineStr">
        <is>
          <t>Asahi Suisan (旭水産株式会社)</t>
        </is>
      </c>
      <c r="E18" t="inlineStr">
        <is>
          <t>contact@asahisuisan.co.jp</t>
        </is>
      </c>
      <c r="F18" t="inlineStr">
        <is>
          <t>https://asahisuisan.co.jp</t>
        </is>
      </c>
      <c r="G18" t="inlineStr">
        <is>
          <t>Koto-ku (Toyosu)</t>
        </is>
      </c>
      <c r="H18" t="inlineStr">
        <is>
          <t>Tokyo</t>
        </is>
      </c>
      <c r="I18" t="inlineStr">
        <is>
          <t>Japan</t>
        </is>
      </c>
      <c r="J18" t="inlineStr"/>
      <c r="K18" t="inlineStr">
        <is>
          <t>Facebook, Instagram</t>
        </is>
      </c>
      <c r="L18" t="inlineStr">
        <is>
          <t>토요스 시장 최대 규모 수산 중도매업체 및 FSSC 22000 ASC 전복 유통사 (EDA 추천 도요스)</t>
        </is>
      </c>
      <c r="M18" t="inlineStr">
        <is>
          <t>신선 활전복 (CIF $34.00)</t>
        </is>
      </c>
    </row>
    <row r="19">
      <c r="A19" t="inlineStr">
        <is>
          <t>2026-07-24</t>
        </is>
      </c>
      <c r="B19" t="inlineStr">
        <is>
          <t>2026-07-24</t>
        </is>
      </c>
      <c r="C19" t="inlineStr">
        <is>
          <t>완도 전복 (HS 030781 / 160557 / 030783)</t>
        </is>
      </c>
      <c r="D19" t="inlineStr">
        <is>
          <t>Royal Seafood (Hải Sản Hoàng Gia)</t>
        </is>
      </c>
      <c r="E19" t="inlineStr">
        <is>
          <t>info@haisanhoanggia.com</t>
        </is>
      </c>
      <c r="F19" t="inlineStr">
        <is>
          <t>https://haisanhoanggia.com</t>
        </is>
      </c>
      <c r="G19" t="inlineStr">
        <is>
          <t>Ho Chi Minh City</t>
        </is>
      </c>
      <c r="H19" t="inlineStr">
        <is>
          <t>District 1</t>
        </is>
      </c>
      <c r="I19" t="inlineStr">
        <is>
          <t>Vietnam</t>
        </is>
      </c>
      <c r="J19" t="inlineStr">
        <is>
          <t>Zalo +84 906 289 499</t>
        </is>
      </c>
      <c r="K19" t="inlineStr">
        <is>
          <t>Facebook @haisanhoanggia</t>
        </is>
      </c>
      <c r="L19" t="inlineStr">
        <is>
          <t>베트남 호치민 최대 수산물 유통 및 신선 수산 전문 유통 체인 (EDA 추천 No.10)</t>
        </is>
      </c>
      <c r="M19" t="inlineStr">
        <is>
          <t>활전복 (CIF $29.50)</t>
        </is>
      </c>
    </row>
    <row r="20">
      <c r="A20" t="inlineStr">
        <is>
          <t>2026-07-24</t>
        </is>
      </c>
      <c r="B20" t="inlineStr">
        <is>
          <t>2026-07-24</t>
        </is>
      </c>
      <c r="C20" t="inlineStr">
        <is>
          <t>완도 전복 (HS 030781 / 160557 / 030783)</t>
        </is>
      </c>
      <c r="D20" t="inlineStr">
        <is>
          <t>Mekong Seafood Connection (Meksea)</t>
        </is>
      </c>
      <c r="E20" t="inlineStr">
        <is>
          <t>sales@mekseaconnection.com</t>
        </is>
      </c>
      <c r="F20" t="inlineStr">
        <is>
          <t>https://www.meksea.com</t>
        </is>
      </c>
      <c r="G20" t="inlineStr">
        <is>
          <t>Ho Chi Minh City</t>
        </is>
      </c>
      <c r="H20" t="inlineStr">
        <is>
          <t>Thu Duc City</t>
        </is>
      </c>
      <c r="I20" t="inlineStr">
        <is>
          <t>Vietnam</t>
        </is>
      </c>
      <c r="J20" t="inlineStr">
        <is>
          <t>WhatsApp, WeChat, Skype +84 903 872 469</t>
        </is>
      </c>
      <c r="K20" t="inlineStr">
        <is>
          <t>LinkedIn, Facebook</t>
        </is>
      </c>
      <c r="L20" t="inlineStr">
        <is>
          <t>베트남 선도적 수산물 수입사 및 HORECA 전복 벤더 (EDA 추천 베트남)</t>
        </is>
      </c>
      <c r="M20" t="inlineStr">
        <is>
          <t>횟감용 IQF 냉동전복 (CIF $29.00)</t>
        </is>
      </c>
    </row>
    <row r="21">
      <c r="A21" t="inlineStr">
        <is>
          <t>2026-07-24</t>
        </is>
      </c>
      <c r="B21" t="inlineStr">
        <is>
          <t>2026-07-24</t>
        </is>
      </c>
      <c r="C21" t="inlineStr">
        <is>
          <t>완도 전복 (HS 030781 / 160557 / 030783)</t>
        </is>
      </c>
      <c r="D21" t="inlineStr">
        <is>
          <t>De Costi Seafoods</t>
        </is>
      </c>
      <c r="E21" t="inlineStr">
        <is>
          <t>info@decosti.com.au</t>
        </is>
      </c>
      <c r="F21" t="inlineStr">
        <is>
          <t>https://www.decosti.com.au</t>
        </is>
      </c>
      <c r="G21" t="inlineStr">
        <is>
          <t>Lidcombe</t>
        </is>
      </c>
      <c r="H21" t="inlineStr">
        <is>
          <t>New South Wales</t>
        </is>
      </c>
      <c r="I21" t="inlineStr">
        <is>
          <t>Australia</t>
        </is>
      </c>
      <c r="J21" t="inlineStr"/>
      <c r="K21" t="inlineStr">
        <is>
          <t>Facebook @decostiseafoods</t>
        </is>
      </c>
      <c r="L21" t="inlineStr">
        <is>
          <t>호주 시드니 대표 대형 수산물 가공 및 유통 기업 (EDA 추천 No.9)</t>
        </is>
      </c>
      <c r="M21" t="inlineStr">
        <is>
          <t>횟감용 IQF 냉동전복 (CIF $28.50)</t>
        </is>
      </c>
    </row>
    <row r="22">
      <c r="A22" t="inlineStr">
        <is>
          <t>2026-07-24</t>
        </is>
      </c>
      <c r="B22" t="inlineStr">
        <is>
          <t>2026-07-24</t>
        </is>
      </c>
      <c r="C22" t="inlineStr">
        <is>
          <t>완도 전복 (HS 030781 / 160557 / 030783)</t>
        </is>
      </c>
      <c r="D22" t="inlineStr">
        <is>
          <t>Kioko Paris</t>
        </is>
      </c>
      <c r="E22" t="inlineStr">
        <is>
          <t>com@kioko.fr</t>
        </is>
      </c>
      <c r="F22" t="inlineStr">
        <is>
          <t>https://www.kioko.fr</t>
        </is>
      </c>
      <c r="G22" t="inlineStr">
        <is>
          <t>Paris</t>
        </is>
      </c>
      <c r="H22" t="inlineStr">
        <is>
          <t>Île-de-France</t>
        </is>
      </c>
      <c r="I22" t="inlineStr">
        <is>
          <t>France</t>
        </is>
      </c>
      <c r="J22" t="inlineStr"/>
      <c r="K22" t="inlineStr">
        <is>
          <t>Facebook @KiokoParis</t>
        </is>
      </c>
      <c r="L22" t="inlineStr">
        <is>
          <t>파리 중심가 일식 고급 식자재 및 수산 가공품 유통 델리카트슨 수입상 (EDA 추천 파리)</t>
        </is>
      </c>
      <c r="M22" t="inlineStr">
        <is>
          <t>전복 내장 소스 게우소스 (CIF $12.50)</t>
        </is>
      </c>
    </row>
    <row r="23">
      <c r="A23" t="inlineStr">
        <is>
          <t>2026-07-24</t>
        </is>
      </c>
      <c r="B23" t="inlineStr">
        <is>
          <t>2026-07-24</t>
        </is>
      </c>
      <c r="C23" t="inlineStr">
        <is>
          <t>완도 전복 (HS 030781 / 160557 / 030783)</t>
        </is>
      </c>
      <c r="D23" t="inlineStr">
        <is>
          <t>Hokkai Suisan</t>
        </is>
      </c>
      <c r="E23" t="inlineStr">
        <is>
          <t>info@hokkai.com</t>
        </is>
      </c>
      <c r="F23" t="inlineStr">
        <is>
          <t>https://hokkai.com</t>
        </is>
      </c>
      <c r="G23" t="inlineStr">
        <is>
          <t>IJmuiden</t>
        </is>
      </c>
      <c r="H23" t="inlineStr">
        <is>
          <t>North Holland</t>
        </is>
      </c>
      <c r="I23" t="inlineStr">
        <is>
          <t>Netherlands</t>
        </is>
      </c>
      <c r="J23" t="inlineStr">
        <is>
          <t>WhatsApp +31 255 541 166</t>
        </is>
      </c>
      <c r="K23" t="inlineStr">
        <is>
          <t>Facebook @hokkaisuisan</t>
        </is>
      </c>
      <c r="L23" t="inlineStr">
        <is>
          <t>네덜란드 수산 물류 단지 기반 일식 횟감 수산물 유통 핵심 기업 (EDA 추천 네덜란드)</t>
        </is>
      </c>
      <c r="M23" t="inlineStr">
        <is>
          <t>IQF 냉동전복 (CIF $30.00)</t>
        </is>
      </c>
    </row>
    <row r="24">
      <c r="A24" t="inlineStr">
        <is>
          <t>2026-07-24</t>
        </is>
      </c>
      <c r="B24" t="inlineStr">
        <is>
          <t>2026-07-24</t>
        </is>
      </c>
      <c r="C24" t="inlineStr">
        <is>
          <t>완도 전복 (HS 030781 / 160557 / 030783)</t>
        </is>
      </c>
      <c r="D24" t="inlineStr">
        <is>
          <t>Rud. Kanzow</t>
        </is>
      </c>
      <c r="E24" t="inlineStr">
        <is>
          <t>contact@kanzow.de</t>
        </is>
      </c>
      <c r="F24" t="inlineStr">
        <is>
          <t>https://www.kanzow.de</t>
        </is>
      </c>
      <c r="G24" t="inlineStr">
        <is>
          <t>Hamburg</t>
        </is>
      </c>
      <c r="H24" t="inlineStr">
        <is>
          <t>Hamburg</t>
        </is>
      </c>
      <c r="I24" t="inlineStr">
        <is>
          <t>Germany</t>
        </is>
      </c>
      <c r="J24" t="inlineStr"/>
      <c r="K24" t="inlineStr">
        <is>
          <t>LinkedIn</t>
        </is>
      </c>
      <c r="L24" t="inlineStr">
        <is>
          <t>독일 함부르크 항구 메인 프리미엄 수산물 수입 유통 대형사 (EDA 추천 독일)</t>
        </is>
      </c>
      <c r="M24" t="inlineStr">
        <is>
          <t>횟감용 IQF 냉동전복 (CIF $31.00)</t>
        </is>
      </c>
    </row>
    <row r="25">
      <c r="A25" t="inlineStr">
        <is>
          <t>2026-07-24</t>
        </is>
      </c>
      <c r="B25" t="inlineStr">
        <is>
          <t>2026-07-24</t>
        </is>
      </c>
      <c r="C25" t="inlineStr">
        <is>
          <t>완도 전복 (HS 030781 / 160557 / 030783)</t>
        </is>
      </c>
      <c r="D25" t="inlineStr">
        <is>
          <t>Atariya Foods</t>
        </is>
      </c>
      <c r="E25" t="inlineStr">
        <is>
          <t>enquiries@atariya.co.uk</t>
        </is>
      </c>
      <c r="F25" t="inlineStr">
        <is>
          <t>https://atariya.co.uk</t>
        </is>
      </c>
      <c r="G25" t="inlineStr">
        <is>
          <t>London</t>
        </is>
      </c>
      <c r="H25" t="inlineStr">
        <is>
          <t>Greater London</t>
        </is>
      </c>
      <c r="I25" t="inlineStr">
        <is>
          <t>United Kingdom</t>
        </is>
      </c>
      <c r="J25" t="inlineStr"/>
      <c r="K25" t="inlineStr">
        <is>
          <t>Facebook @AtariyaFoods</t>
        </is>
      </c>
      <c r="L25" t="inlineStr">
        <is>
          <t>영국 런던 횟감용 수산물 전문 수입 도소매 유통사 (EDA 추천 영국)</t>
        </is>
      </c>
      <c r="M25" t="inlineStr">
        <is>
          <t>IQF 냉동전복 (CIF $30.00)</t>
        </is>
      </c>
    </row>
    <row r="26">
      <c r="A26" t="inlineStr">
        <is>
          <t>2026-07-24</t>
        </is>
      </c>
      <c r="B26" t="inlineStr">
        <is>
          <t>2026-07-24</t>
        </is>
      </c>
      <c r="C26" t="inlineStr">
        <is>
          <t>완도 전복 (HS 030781 / 160557 / 030783)</t>
        </is>
      </c>
      <c r="D26" t="inlineStr">
        <is>
          <t>Ocean Pacific Seafood</t>
        </is>
      </c>
      <c r="E26" t="inlineStr">
        <is>
          <t>oceanpacificonline@gmail.com</t>
        </is>
      </c>
      <c r="F26" t="inlineStr">
        <is>
          <t>https://www.oceanpacific.com.my</t>
        </is>
      </c>
      <c r="G26" t="inlineStr">
        <is>
          <t>Johor Bahru</t>
        </is>
      </c>
      <c r="H26" t="inlineStr">
        <is>
          <t>Johor</t>
        </is>
      </c>
      <c r="I26" t="inlineStr">
        <is>
          <t>Malaysia</t>
        </is>
      </c>
      <c r="J26" t="inlineStr">
        <is>
          <t>WhatsApp +6016 770 5522</t>
        </is>
      </c>
      <c r="K26" t="inlineStr">
        <is>
          <t>Facebook</t>
        </is>
      </c>
      <c r="L26" t="inlineStr">
        <is>
          <t>말레이시아 HORECA 및 레스토랑 수산물 전문 유통사 (EDA 추천 말레이시아)</t>
        </is>
      </c>
      <c r="M26" t="inlineStr">
        <is>
          <t>전복 통조림 (CIF $14.50)</t>
        </is>
      </c>
    </row>
    <row r="27">
      <c r="A27" t="inlineStr">
        <is>
          <t>2026-07-24</t>
        </is>
      </c>
      <c r="B27" t="inlineStr">
        <is>
          <t>2026-07-24</t>
        </is>
      </c>
      <c r="C27" t="inlineStr">
        <is>
          <t>완도 전복 (HS 030781 / 160557 / 030783)</t>
        </is>
      </c>
      <c r="D27" t="inlineStr">
        <is>
          <t>Food Project Co.</t>
        </is>
      </c>
      <c r="E27" t="inlineStr">
        <is>
          <t>purchase@foodproject.co.th</t>
        </is>
      </c>
      <c r="F27" t="inlineStr">
        <is>
          <t>https://www.foodproject.co.th</t>
        </is>
      </c>
      <c r="G27" t="inlineStr">
        <is>
          <t>Bangkok</t>
        </is>
      </c>
      <c r="H27" t="inlineStr">
        <is>
          <t>Yan Nawa</t>
        </is>
      </c>
      <c r="I27" t="inlineStr">
        <is>
          <t>Thailand</t>
        </is>
      </c>
      <c r="J27" t="inlineStr">
        <is>
          <t>LINE @foodprojectsiam</t>
        </is>
      </c>
      <c r="K27" t="inlineStr">
        <is>
          <t>Facebook, Instagram</t>
        </is>
      </c>
      <c r="L27" t="inlineStr">
        <is>
          <t>태국 선도적 수산물 수입 및 HORECA 콜드체인 공급사 (EDA 추천 태국)</t>
        </is>
      </c>
      <c r="M27" t="inlineStr">
        <is>
          <t>횟감용 IQF 냉동전복 (CIF $29.50)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40" customWidth="1" min="3" max="3"/>
    <col width="40" customWidth="1" min="4" max="4"/>
  </cols>
  <sheetData>
    <row r="1">
      <c r="A1" s="1" t="inlineStr">
        <is>
          <t>1인 종합상사 실전 비즈니스 파이프라인 &amp; 5단계 액션 플레이북</t>
        </is>
      </c>
    </row>
    <row r="2"/>
    <row r="3">
      <c r="A3" s="2" t="inlineStr">
        <is>
          <t>실전 단계 (Step)</t>
        </is>
      </c>
      <c r="B3" s="2" t="inlineStr">
        <is>
          <t>액션 제목 (Action Title)</t>
        </is>
      </c>
      <c r="C3" s="2" t="inlineStr">
        <is>
          <t>세부 실행 내용 (Execution Details)</t>
        </is>
      </c>
      <c r="D3" s="2" t="inlineStr">
        <is>
          <t>핵심 성공 요인 (KPI / Key Factors)</t>
        </is>
      </c>
    </row>
    <row r="4">
      <c r="A4" t="inlineStr">
        <is>
          <t>Step 1 / Action 1</t>
        </is>
      </c>
      <c r="B4" t="inlineStr">
        <is>
          <t>Cold Outreach &amp; Pitching</t>
        </is>
      </c>
      <c r="C4" t="inlineStr">
        <is>
          <t>825개 검증 바이어 담당자 대상 영문/중문 제안서 송부</t>
        </is>
      </c>
      <c r="D4" t="inlineStr">
        <is>
          <t>현지 시세 대비 15% 우위 단가 + 폐사율 3% 보증 + 50kg MOQ 오퍼</t>
        </is>
      </c>
    </row>
    <row r="5">
      <c r="A5" t="inlineStr">
        <is>
          <t>Step 2 / Action 2</t>
        </is>
      </c>
      <c r="B5" t="inlineStr">
        <is>
          <t>Sample Shipping &amp; Testing</t>
        </is>
      </c>
      <c r="C5" t="inlineStr">
        <is>
          <t>10kg 산소주입 활전복 팩 Air Express 송부 / 통조림 1박스 수송</t>
        </is>
      </c>
      <c r="D5" t="inlineStr">
        <is>
          <t>24시간 도착 후 생존율, 수율(Meat Yield), 멸균 품질 검증서 승인</t>
        </is>
      </c>
    </row>
    <row r="6">
      <c r="A6" t="inlineStr">
        <is>
          <t>Step 3 / Action 3</t>
        </is>
      </c>
      <c r="B6" t="inlineStr">
        <is>
          <t>Contract &amp; Financial Term</t>
        </is>
      </c>
      <c r="C6" t="inlineStr">
        <is>
          <t>신규 거래처 T/T 30% Deposit + 70% B/L Copy / 대형사 L/C at Sight</t>
        </is>
      </c>
      <c r="D6" t="inlineStr">
        <is>
          <t>무조건부 일람출급 신용장(L/C) 활용으로 대금 회수 리스크 100% 차단</t>
        </is>
      </c>
    </row>
    <row r="7">
      <c r="A7" t="inlineStr">
        <is>
          <t>Step 4 / Action 4</t>
        </is>
      </c>
      <c r="B7" t="inlineStr">
        <is>
          <t>Compliance &amp; Customs Clearance</t>
        </is>
      </c>
      <c r="C7" t="inlineStr">
        <is>
          <t>미국 FDA Prior Notice, 베트남 한-베 FTA C/O, 유럽 EU 위생허가</t>
        </is>
      </c>
      <c r="D7" t="inlineStr">
        <is>
          <t>베트남 관세 0% C/O 발급 및 미국 FDA 사전통보 승인 연동</t>
        </is>
      </c>
    </row>
    <row r="8">
      <c r="A8" t="inlineStr">
        <is>
          <t>Step 5 / Action 5</t>
        </is>
      </c>
      <c r="B8" t="inlineStr">
        <is>
          <t>Re-order &amp; Seasonality Supply</t>
        </is>
      </c>
      <c r="C8" t="inlineStr">
        <is>
          <t>춘절/중추절 3개월 전 명품 건전복 계약, 북미 연말 통조림 FCL 발주</t>
        </is>
      </c>
      <c r="D8" t="inlineStr">
        <is>
          <t>계절별 수급 파이프라인 구축을 통한 바이어 LTV 극대화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2026-07-24T09:07:49Z</dcterms:created>
  <dcterms:modified xmlns:dcterms="http://purl.org/dc/terms/" xmlns:xsi="http://www.w3.org/2001/XMLSchema-instance" xsi:type="dcterms:W3CDTF">2026-07-24T09:07:49Z</dcterms:modified>
</cp:coreProperties>
</file>